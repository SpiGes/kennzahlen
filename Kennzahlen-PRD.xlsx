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Config\Desktop\"/>
    </mc:Choice>
  </mc:AlternateContent>
  <xr:revisionPtr revIDLastSave="0" documentId="8_{A5DF30EC-2FE1-4732-A615-6F64F6173F94}" xr6:coauthVersionLast="47" xr6:coauthVersionMax="47" xr10:uidLastSave="{00000000-0000-0000-0000-000000000000}"/>
  <bookViews>
    <workbookView xWindow="-120" yWindow="-120" windowWidth="38640" windowHeight="15720" xr2:uid="{7F3B091B-1F0D-4994-A781-DF56DD0CB0CF}"/>
  </bookViews>
  <sheets>
    <sheet name="KFC" sheetId="1" r:id="rId1"/>
  </sheets>
  <definedNames>
    <definedName name="_xlnm._FilterDatabase" localSheetId="0" hidden="1">KFC!$A$1:$S$716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16" i="1" l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<sst xmlns="http://schemas.openxmlformats.org/spreadsheetml/2006/main" count="7983" uniqueCount="1379">
  <si>
    <t>N°</t>
  </si>
  <si>
    <t>Wo</t>
  </si>
  <si>
    <t>KeyFigureName</t>
  </si>
  <si>
    <t>ReferencedBusinessObjectIdentifiers</t>
  </si>
  <si>
    <t>IsObjectAlwaysCreated</t>
  </si>
  <si>
    <t>ValueSelect</t>
  </si>
  <si>
    <t>AdditionalSelects</t>
  </si>
  <si>
    <t>ValueFunction</t>
  </si>
  <si>
    <t>IsCalculation</t>
  </si>
  <si>
    <t>Characteristic_Name</t>
  </si>
  <si>
    <t>Characteristic_Condition</t>
  </si>
  <si>
    <t>DefaultCharacteristic</t>
  </si>
  <si>
    <t>FromBusinessObjectName</t>
  </si>
  <si>
    <t>BusinessObjectKeySelect</t>
  </si>
  <si>
    <t>JoinClause</t>
  </si>
  <si>
    <t>WhereClause</t>
  </si>
  <si>
    <t>GroupByClause</t>
  </si>
  <si>
    <t>HavingClause</t>
  </si>
  <si>
    <t>SQL Statement</t>
  </si>
  <si>
    <t>ANZ_0596_AKUT</t>
  </si>
  <si>
    <t>ADMINISTRATIVES, PERSONENIDENTIFIKATOREN</t>
  </si>
  <si>
    <t>False</t>
  </si>
  <si>
    <t>DISTINCT per.UV_AHV</t>
  </si>
  <si>
    <t>COUNT(*)</t>
  </si>
  <si>
    <t>PATIENTEN</t>
  </si>
  <si>
    <t>adm.UV_TARIF=1</t>
  </si>
  <si>
    <t>OTHER</t>
  </si>
  <si>
    <t>ADMINISTRATIVES adm</t>
  </si>
  <si>
    <t>(SELECT BURGESV FROM SPITAL)</t>
  </si>
  <si>
    <t>JOIN PERSONENIDENTIFIKATOREN per ON adm.UV_FALL_ID=per.UV_FALL_ID AND adm.UV_BURNR=per.UV_BURNR</t>
  </si>
  <si>
    <t>adm.UV_ABC_FALL= 'A' AND adm.UV_TARIF IN (1,2)</t>
  </si>
  <si>
    <t>ANZ_0596_PSY</t>
  </si>
  <si>
    <t>adm.UV_TARIF=5</t>
  </si>
  <si>
    <t>adm.UV_ABC_FALL= 'A' AND adm.UV_TARIF IN (5,6)</t>
  </si>
  <si>
    <t>ANZ_0596_REHA</t>
  </si>
  <si>
    <t>adm.UV_TARIF=3</t>
  </si>
  <si>
    <t>adm.UV_ABC_FALL= 'A' AND adm.UV_TARIF IN (3,4)</t>
  </si>
  <si>
    <t>VGL_ABS_0596_AKUT</t>
  </si>
  <si>
    <t>ANZ_0596_AKUT, PDP_ANZ_0596_AKUT</t>
  </si>
  <si>
    <t>NVL(kfc.VALUE,0)-NVL(kfc2.VALUE,0)</t>
  </si>
  <si>
    <t>kfc.CHARACTERISTIC AS Characteristic</t>
  </si>
  <si>
    <t>True</t>
  </si>
  <si>
    <t>ANZ_0596_AKUT kfc</t>
  </si>
  <si>
    <t>kfc.BO_KEY</t>
  </si>
  <si>
    <t>JOIN PDP_ANZ_0596_AKUT kfc2 ON kfc.BO_KEY = kfc2.BO_KEY AND kfc.CHARACTERISTIC = kfc2.CHARACTERISTIC</t>
  </si>
  <si>
    <t>VGL_ABS_0596_PSY</t>
  </si>
  <si>
    <t>ANZ_0596_PSY, PDP_ANZ_0596_PSY</t>
  </si>
  <si>
    <t>ANZ_0596_PSY kfc</t>
  </si>
  <si>
    <t>JOIN PDP_ANZ_0596_PSY kfc2 ON kfc.BO_KEY = kfc2.BO_KEY AND kfc.CHARACTERISTIC = kfc2.CHARACTERISTIC</t>
  </si>
  <si>
    <t>VGL_ABS_0596_REHA</t>
  </si>
  <si>
    <t>ANZ_0596_REHA, PDP_ANZ_0596_REHA</t>
  </si>
  <si>
    <t>ANZ_0596_REHA kfc</t>
  </si>
  <si>
    <t>JOIN PDP_ANZ_0596_REHA kfc2 ON kfc.BO_KEY = kfc2.BO_KEY AND kfc.CHARACTERISTIC = kfc2.CHARACTERISTIC</t>
  </si>
  <si>
    <t>VGL_REL_0596_AKUT</t>
  </si>
  <si>
    <t>TRUNC((NVL(kfc.VALUE,0)-NVL(kfc2.VALUE,0)) / kfc2.VALUE,10)</t>
  </si>
  <si>
    <t>kfc2.VALUE &lt;&gt; 0 AND kfc2.VALUE IS NOT NULL</t>
  </si>
  <si>
    <t>VGL_REL_0596_PSY</t>
  </si>
  <si>
    <t>VGL_REL_0596_REHA</t>
  </si>
  <si>
    <t>SUM_REKOLE_0623_KTF</t>
  </si>
  <si>
    <t>KOSTENTRAEGERFALL</t>
  </si>
  <si>
    <t>NVL(ktf.UV_KTR_44_REKOLE,0)</t>
  </si>
  <si>
    <t>SUM(Value)</t>
  </si>
  <si>
    <t>ANLAGENUTZUNGSKOSTEN</t>
  </si>
  <si>
    <t>1=1</t>
  </si>
  <si>
    <t>KOSTENTRAEGERFALL ktf</t>
  </si>
  <si>
    <t>SUM_REKOLE_0623_KTS</t>
  </si>
  <si>
    <t>KOSTENTRAEGERSTANDORT</t>
  </si>
  <si>
    <t>NVL(kts.UV_KTR_44_REKOLE,0)</t>
  </si>
  <si>
    <t>KOSTENTRAEGERSTANDORT kts</t>
  </si>
  <si>
    <t>SUM_REKOLE_0623_KTU</t>
  </si>
  <si>
    <t>KOSTENTRAEGERUNTERNEHMEN</t>
  </si>
  <si>
    <t>NVL(ktu.UV_KTR_44_REKOLE,0)</t>
  </si>
  <si>
    <t>KOSTENTRAEGERUNTERNEHMEN ktu</t>
  </si>
  <si>
    <t>SUM_VKL_0623_KTF</t>
  </si>
  <si>
    <t>NVL(ktf.UV_KTR_44_VKL,0)</t>
  </si>
  <si>
    <t>SUM_VKL_0623_KTS</t>
  </si>
  <si>
    <t>NVL(kts.UV_KTR_44_VKL,0)</t>
  </si>
  <si>
    <t>SUM_VKL_0623_KTU</t>
  </si>
  <si>
    <t>NVL(ktu.UV_KTR_44_VKL,0)</t>
  </si>
  <si>
    <t>SUM_REKOLE_0623</t>
  </si>
  <si>
    <t>SUM_REKOLE_0623_KTF, SUM_REKOLE_0623_KTS, SUM_REKOLE_0623_KTU</t>
  </si>
  <si>
    <t>NVL(kfc.VALUE,0)+NVL(kfc2.VALUE,0)+NVL(kfc3.VALUE,0)</t>
  </si>
  <si>
    <t>SUM_REKOLE_0623_KTF kfc</t>
  </si>
  <si>
    <t>JOIN SUM_REKOLE_0623_KTS kfc2 ON kfc.BO_KEY = kfc2.BO_KEY AND kfc.CHARACTERISTIC = kfc2.CHARACTERISTIC JOIN SUM_REKOLE_0623_KTU kfc3 ON kfc.BO_KEY = kfc3.BO_KEY AND kfc.CHARACTERISTIC = kfc3.CHARACTERISTIC</t>
  </si>
  <si>
    <t>SUM_VKL_0623</t>
  </si>
  <si>
    <t>SUM_VKL_0623_KTF, SUM_VKL_0623_KTS, SUM_VKL_0623_KTU</t>
  </si>
  <si>
    <t>SUM_VKL_0623_KTF kfc</t>
  </si>
  <si>
    <t>JOIN SUM_VKL_0623_KTS kfc2 ON kfc.BO_KEY = kfc2.BO_KEY AND kfc.CHARACTERISTIC = kfc2.CHARACTERISTIC JOIN SUM_REKOLE_0623_KTU kfc3 ON kfc.BO_KEY = kfc3.BO_KEY AND kfc.CHARACTERISTIC = kfc3.CHARACTERISTIC</t>
  </si>
  <si>
    <t>ANZ_0646_0647</t>
  </si>
  <si>
    <t>ADMINISTRATIVES</t>
  </si>
  <si>
    <t>adm.FALL_KEY</t>
  </si>
  <si>
    <t>TARIF_1</t>
  </si>
  <si>
    <t>adm.UV_ABC_FALL= 'A'</t>
  </si>
  <si>
    <t>TARIF_5</t>
  </si>
  <si>
    <t>TARIF_3</t>
  </si>
  <si>
    <t>SUM_0646</t>
  </si>
  <si>
    <t>ADMINISTRATIVES, KOSTENTRAEGERFALL</t>
  </si>
  <si>
    <t>NVL(ktf.UV_KTR_60,0)+NVL(ktf.UV_KTR_61,0)+NVL(ktf.UV_KTR_62,0)+NVL(ktf.UV_KTR_65,0)+NVL(ktf.UV_KTR_66,0)+NVL(ktf.UV_KTR_68,0)+NVL(ktf.UV_KTR_69,0)+NVL(ktf.UV_KTR_697,0)</t>
  </si>
  <si>
    <t>JOIN KOSTENTRAEGERFALL ktf ON adm.UV_FALL_ID=ktf.UV_FALL_ID AND adm.UV_BURNR=ktf.UV_BURNR</t>
  </si>
  <si>
    <t>ERL_0646</t>
  </si>
  <si>
    <t>SUM_0646, ANZ_0646_0647</t>
  </si>
  <si>
    <t>TRUNC(NVL(kfc.VALUE,0) / NVL(kfc2.VALUE,0),10)</t>
  </si>
  <si>
    <t>SUM_0646 kfc</t>
  </si>
  <si>
    <t>JOIN ANZ_0646_0647 kfc2 ON kfc.BO_KEY = kfc2.BO_KEY AND kfc.CHARACTERISTIC = kfc2.CHARACTERISTIC</t>
  </si>
  <si>
    <t>VGL_REL_0646</t>
  </si>
  <si>
    <t>ERL_0646, PDP_ERL_0646</t>
  </si>
  <si>
    <t>ERL_0646 kfc</t>
  </si>
  <si>
    <t>JOIN PDP_ERL_0646 kfc2 ON kfc.BO_KEY = kfc2.BO_KEY AND kfc.CHARACTERISTIC = kfc2.CHARACTERISTIC</t>
  </si>
  <si>
    <t>SUM_0647</t>
  </si>
  <si>
    <t>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</t>
  </si>
  <si>
    <t>KOS_0647</t>
  </si>
  <si>
    <t>SUM_0647, ANZ_0646_0647</t>
  </si>
  <si>
    <t>SUM_0647 kfc</t>
  </si>
  <si>
    <t>VGL_REL_0647</t>
  </si>
  <si>
    <t>KOS_0647, PDP_KOS_0647</t>
  </si>
  <si>
    <t>KOS_0647 kfc</t>
  </si>
  <si>
    <t>JOIN PDP_KOS_0647 kfc2 ON kfc.BO_KEY = kfc2.BO_KEY AND kfc.CHARACTERISTIC = kfc2.CHARACTERISTIC</t>
  </si>
  <si>
    <t>ANZ_0649</t>
  </si>
  <si>
    <t>adm.UV_AUSTRITTSDATUM</t>
  </si>
  <si>
    <t>VGL_ABS_0649</t>
  </si>
  <si>
    <t>ANZ_0649, PDP_ANZ_0649</t>
  </si>
  <si>
    <t>ANZ_0649 kfc</t>
  </si>
  <si>
    <t>JOIN PDP_ANZ_0649 kfc2 ON kfc.BO_KEY = kfc2.BO_KEY AND kfc.CHARACTERISTIC = kfc2.CHARACTERISTIC</t>
  </si>
  <si>
    <t>VGL_REL_0649</t>
  </si>
  <si>
    <t>ANZ_0650</t>
  </si>
  <si>
    <t>TARIF_1_2</t>
  </si>
  <si>
    <t>adm.UV_TARIF IN (1,2)</t>
  </si>
  <si>
    <t>TARIF_5_6</t>
  </si>
  <si>
    <t>adm.UV_TARIF IN (5,6)</t>
  </si>
  <si>
    <t>TARIF_3_4</t>
  </si>
  <si>
    <t>adm.UV_TARIF IN (3,4)</t>
  </si>
  <si>
    <t>VGL_ABS_0650</t>
  </si>
  <si>
    <t>ANZ_0650, PDP_ANZ_0650</t>
  </si>
  <si>
    <t>ANZ_0650 kfc</t>
  </si>
  <si>
    <t>JOIN PDP_ANZ_0650 kfc2 ON kfc.BO_KEY = kfc2.BO_KEY AND kfc.CHARACTERISTIC = kfc2.CHARACTERISTIC</t>
  </si>
  <si>
    <t>VGL_REL_0650</t>
  </si>
  <si>
    <t>ANZ_0651</t>
  </si>
  <si>
    <t>ADMINISTRATIVES, GROUPER_DRG</t>
  </si>
  <si>
    <t>drg.ECW</t>
  </si>
  <si>
    <t>TARIFF_SWISSDRG</t>
  </si>
  <si>
    <t>adm.UV_TARIF = 1</t>
  </si>
  <si>
    <t>JOIN GROUPER_DRG drg ON adm.FALL_KEY = drg.KEY</t>
  </si>
  <si>
    <t>drg.ECW IS NOT NULL</t>
  </si>
  <si>
    <t>TARIFF_TARPSY</t>
  </si>
  <si>
    <t>adm.UV_TARIF = 5</t>
  </si>
  <si>
    <t>TARIFF_STREHA</t>
  </si>
  <si>
    <t>adm.UV_TARIF = 3</t>
  </si>
  <si>
    <t>SUM_0651_CMI</t>
  </si>
  <si>
    <t>SUM_0651_DMI</t>
  </si>
  <si>
    <t>TRUNC(NVL(drg.ECW,0) / NVL(drg.LOS,0),10)</t>
  </si>
  <si>
    <t>CMI_0651</t>
  </si>
  <si>
    <t>SUM_0651_CMI, ANZ_0651</t>
  </si>
  <si>
    <t>SUM_0651_CMI kfc</t>
  </si>
  <si>
    <t>JOIN ANZ_0651 kfc2 ON kfc.BO_KEY = kfc2.BO_KEY AND kfc.CHARACTERISTIC = kfc2.CHARACTERISTIC</t>
  </si>
  <si>
    <t>DMI_0651</t>
  </si>
  <si>
    <t>SUM_0651_DMI, ANZ_0651</t>
  </si>
  <si>
    <t>SUM_0651_DMI kfc</t>
  </si>
  <si>
    <t>VGL_ABS_0651_CMI</t>
  </si>
  <si>
    <t>CMI_0651, PDP_CMI_0651</t>
  </si>
  <si>
    <t>CMI_0651 kfc</t>
  </si>
  <si>
    <t>JOIN PDP_CMI_0651 kfc2 ON kfc.BO_KEY = kfc2.BO_KEY AND kfc.CHARACTERISTIC = kfc2.CHARACTERISTIC</t>
  </si>
  <si>
    <t>VGL_ABS_0651_DMI</t>
  </si>
  <si>
    <t>DMI_0651, PDP_DMI_0651</t>
  </si>
  <si>
    <t>DMI_0651 kfc</t>
  </si>
  <si>
    <t>JOIN PDP_DMI_0651 kfc2 ON kfc.BO_KEY = kfc2.BO_KEY AND kfc.CHARACTERISTIC = kfc2.CHARACTERISTIC</t>
  </si>
  <si>
    <t>VGL_REL_0651_CMI</t>
  </si>
  <si>
    <t>VGL_REL_0651_DMI</t>
  </si>
  <si>
    <t>ANZ_0722_AKUT</t>
  </si>
  <si>
    <t>adm.UV_ABC_FALL</t>
  </si>
  <si>
    <t xml:space="preserve">ABC_FALL_A
</t>
  </si>
  <si>
    <t xml:space="preserve">ABC_FALL_B
</t>
  </si>
  <si>
    <t>adm.UV_ABC_FALL= 'B'</t>
  </si>
  <si>
    <t xml:space="preserve">ABC_FALL_C
</t>
  </si>
  <si>
    <t>adm.UV_ABC_FALL= 'C'</t>
  </si>
  <si>
    <t>ANZ_0722_PSY</t>
  </si>
  <si>
    <t>ANZ_0722_REHA</t>
  </si>
  <si>
    <t>VGL_ABS_0722_AKUT</t>
  </si>
  <si>
    <t>ANZ_0722_AKUT, PDP_ANZ_0722_AKUT</t>
  </si>
  <si>
    <t>ANZ_0722_AKUT kfc</t>
  </si>
  <si>
    <t>JOIN PDP_ANZ_0722_AKUT kfc2 ON kfc.BO_KEY = kfc2.BO_KEY AND kfc.CHARACTERISTIC = kfc2.CHARACTERISTIC</t>
  </si>
  <si>
    <t>VGL_ABS_0722_PSY</t>
  </si>
  <si>
    <t>ANZ_0722_PSY, PDP_ANZ_0722_PSY</t>
  </si>
  <si>
    <t>ANZ_0722_PSY kfc</t>
  </si>
  <si>
    <t>JOIN PDP_ANZ_0722_PSY kfc2 ON kfc.BO_KEY = kfc2.BO_KEY AND kfc.CHARACTERISTIC = kfc2.CHARACTERISTIC</t>
  </si>
  <si>
    <t>VGL_ABS_0722_REHA</t>
  </si>
  <si>
    <t>ANZ_0722_REHA, PDP_ANZ_0722_REHA</t>
  </si>
  <si>
    <t>ANZ_0722_REHA kfc</t>
  </si>
  <si>
    <t>JOIN PDP_ANZ_0722_REHA kfc2 ON kfc.BO_KEY = kfc2.BO_KEY AND kfc.CHARACTERISTIC = kfc2.CHARACTERISTIC</t>
  </si>
  <si>
    <t>VGL_REL_0722_AKUT</t>
  </si>
  <si>
    <t>VGL_REL_0722_PSY</t>
  </si>
  <si>
    <t>VGL_REL_0722_REHA</t>
  </si>
  <si>
    <t>ANZ_0724_AKUT</t>
  </si>
  <si>
    <t>adm.UV_TARIF</t>
  </si>
  <si>
    <t>TARIF_2</t>
  </si>
  <si>
    <t>adm.UV_TARIF=2</t>
  </si>
  <si>
    <t>ANZ_0724_PSY</t>
  </si>
  <si>
    <t>TARIF_6</t>
  </si>
  <si>
    <t>adm.UV_TARIF=6</t>
  </si>
  <si>
    <t>ANZ_0724_REHA</t>
  </si>
  <si>
    <t>TARIF_4</t>
  </si>
  <si>
    <t>adm.UV_TARIF=4</t>
  </si>
  <si>
    <t>VGL_ABS_0724_AKUT</t>
  </si>
  <si>
    <t>ANZ_0724_AKUT, PDP_ANZ_0724_AKUT</t>
  </si>
  <si>
    <t>ANZ_0724_AKUT kfc</t>
  </si>
  <si>
    <t>JOIN PDP_ANZ_0724_AKUT kfc2 ON kfc.BO_KEY = kfc2.BO_KEY AND kfc.CHARACTERISTIC = kfc2.CHARACTERISTIC</t>
  </si>
  <si>
    <t>VGL_ABS_0724_PSY</t>
  </si>
  <si>
    <t>ANZ_0724_PSY, PDP_ANZ_0724_PSY</t>
  </si>
  <si>
    <t>ANZ_0724_PSY kfc</t>
  </si>
  <si>
    <t>JOIN PDP_ANZ_0724_PSY kfc2 ON kfc.BO_KEY = kfc2.BO_KEY AND kfc.CHARACTERISTIC = kfc2.CHARACTERISTIC</t>
  </si>
  <si>
    <t>VGL_ABS_0724_REHA</t>
  </si>
  <si>
    <t>ANZ_0724_REHA, PDP_ANZ_0724_REHA</t>
  </si>
  <si>
    <t>ANZ_0724_REHA kfc</t>
  </si>
  <si>
    <t>JOIN PDP_ANZ_0724_REHA kfc2 ON kfc.BO_KEY = kfc2.BO_KEY AND kfc.CHARACTERISTIC = kfc2.CHARACTERISTIC</t>
  </si>
  <si>
    <t>VGL_REL_0724_AKUT</t>
  </si>
  <si>
    <t>VGL_REL_0724_PSY</t>
  </si>
  <si>
    <t>VGL_REL_0724_REHA</t>
  </si>
  <si>
    <t>ANZ_0725_AKUT</t>
  </si>
  <si>
    <t>adm.UV_LIEGEKLASSE</t>
  </si>
  <si>
    <t>LIEGEKLASSE_1</t>
  </si>
  <si>
    <t>adm.UV_LIEGEKLASSE=1</t>
  </si>
  <si>
    <t>LIEGEKLASSE_2</t>
  </si>
  <si>
    <t>adm.UV_LIEGEKLASSE=2</t>
  </si>
  <si>
    <t>LIEGEKLASSE_3</t>
  </si>
  <si>
    <t>adm.UV_LIEGEKLASSE=3</t>
  </si>
  <si>
    <t>LIEGEKLASSE_9</t>
  </si>
  <si>
    <t>adm.UV_LIEGEKLASSE=9</t>
  </si>
  <si>
    <t>ANZ_0725_PSY</t>
  </si>
  <si>
    <t>ANZ_0725_REHA</t>
  </si>
  <si>
    <t>VGL_ABS_0725_AKUT</t>
  </si>
  <si>
    <t>ANZ_0725_AKUT, PDP_ANZ_0725_AKUT</t>
  </si>
  <si>
    <t>ANZ_0725_AKUT kfc</t>
  </si>
  <si>
    <t>JOIN PDP_ANZ_0725_AKUT kfc2 ON kfc.BO_KEY = kfc2.BO_KEY AND kfc.CHARACTERISTIC = kfc2.CHARACTERISTIC</t>
  </si>
  <si>
    <t>VGL_ABS_0725_PSY</t>
  </si>
  <si>
    <t>ANZ_0725_PSY, PDP_ANZ_0725_PSY</t>
  </si>
  <si>
    <t>ANZ_0725_PSY kfc</t>
  </si>
  <si>
    <t>JOIN PDP_ANZ_0725_PSY kfc2 ON kfc.BO_KEY = kfc2.BO_KEY AND kfc.CHARACTERISTIC = kfc2.CHARACTERISTIC</t>
  </si>
  <si>
    <t>VGL_ABS_0725_REHA</t>
  </si>
  <si>
    <t>ANZ_0725_REHA, PDP_ANZ_0725_REHA</t>
  </si>
  <si>
    <t>ANZ_0725_REHA kfc</t>
  </si>
  <si>
    <t>JOIN PDP_ANZ_0725_REHA kfc2 ON kfc.BO_KEY = kfc2.BO_KEY AND kfc.CHARACTERISTIC = kfc2.CHARACTERISTIC</t>
  </si>
  <si>
    <t>VGL_REL_0725_AKUT</t>
  </si>
  <si>
    <t>VGL_REL_0725_PSY</t>
  </si>
  <si>
    <t>VGL_REL_0725_REHA</t>
  </si>
  <si>
    <t>ANZ_0726_AKUT</t>
  </si>
  <si>
    <t>adm.UV_GRUNDVERSICHERUNG</t>
  </si>
  <si>
    <t>GRUNDVERSICHERUNG_1</t>
  </si>
  <si>
    <t>adm.UV_GRUNDVERSICHERUNG=1</t>
  </si>
  <si>
    <t>GRUNDVERSICHERUNG_2</t>
  </si>
  <si>
    <t>adm.UV_GRUNDVERSICHERUNG=2</t>
  </si>
  <si>
    <t>GRUNDVERSICHERUNG_3</t>
  </si>
  <si>
    <t>adm.UV_GRUNDVERSICHERUNG=3</t>
  </si>
  <si>
    <t>GRUNDVERSICHERUNG_4</t>
  </si>
  <si>
    <t>adm.UV_GRUNDVERSICHERUNG=4</t>
  </si>
  <si>
    <t>GRUNDVERSICHERUNG_5</t>
  </si>
  <si>
    <t>adm.UV_GRUNDVERSICHERUNG=5</t>
  </si>
  <si>
    <t>GRUNDVERSICHERUNG_8</t>
  </si>
  <si>
    <t>adm.UV_GRUNDVERSICHERUNG=8</t>
  </si>
  <si>
    <t>GRUNDVERSICHERUNG_9</t>
  </si>
  <si>
    <t>adm.UV_GRUNDVERSICHERUNG=9</t>
  </si>
  <si>
    <t>ANZ_0726_PSY</t>
  </si>
  <si>
    <t>ANZ_0726_REHA</t>
  </si>
  <si>
    <t>VGL_ABS_0726_AKUT</t>
  </si>
  <si>
    <t>ANZ_0726_AKUT, PDP_ANZ_0726_AKUT</t>
  </si>
  <si>
    <t>ANZ_0726_AKUT kfc</t>
  </si>
  <si>
    <t>JOIN PDP_ANZ_0726_AKUT kfc2 ON kfc.BO_KEY = kfc2.BO_KEY AND kfc.CHARACTERISTIC = kfc2.CHARACTERISTIC</t>
  </si>
  <si>
    <t>VGL_ABS_0726_PSY</t>
  </si>
  <si>
    <t>ANZ_0726_PSY, PDP_ANZ_0726_PSY</t>
  </si>
  <si>
    <t>ANZ_0726_PSY kfc</t>
  </si>
  <si>
    <t>JOIN PDP_ANZ_0726_PSY kfc2 ON kfc.BO_KEY = kfc2.BO_KEY AND kfc.CHARACTERISTIC = kfc2.CHARACTERISTIC</t>
  </si>
  <si>
    <t>VGL_ABS_0726_REHA</t>
  </si>
  <si>
    <t>ANZ_0726_REHA, PDP_ANZ_0726_REHA</t>
  </si>
  <si>
    <t>ANZ_0726_REHA kfc</t>
  </si>
  <si>
    <t>JOIN PDP_ANZ_0726_REHA kfc2 ON kfc.BO_KEY = kfc2.BO_KEY AND kfc.CHARACTERISTIC = kfc2.CHARACTERISTIC</t>
  </si>
  <si>
    <t>VGL_REL_0726_AKUT</t>
  </si>
  <si>
    <t>VGL_REL_0726_PSY</t>
  </si>
  <si>
    <t>VGL_REL_0726_REHA</t>
  </si>
  <si>
    <t>ANZ_0727</t>
  </si>
  <si>
    <t>adm.UV_WOHNKANTON</t>
  </si>
  <si>
    <t>WOHNKANTON_AG</t>
  </si>
  <si>
    <t>adm.UV_WOHNKANTON='AG'</t>
  </si>
  <si>
    <t>WOHNKANTON_AI</t>
  </si>
  <si>
    <t>adm.UV_WOHNKANTON='AI'</t>
  </si>
  <si>
    <t>WOHNKANTON_AR</t>
  </si>
  <si>
    <t>adm.UV_WOHNKANTON='AR'</t>
  </si>
  <si>
    <t>WOHNKANTON_BE</t>
  </si>
  <si>
    <t>adm.UV_WOHNKANTON='BE'</t>
  </si>
  <si>
    <t>WOHNKANTON_BL</t>
  </si>
  <si>
    <t>adm.UV_WOHNKANTON='BL'</t>
  </si>
  <si>
    <t>WOHNKANTON_BS</t>
  </si>
  <si>
    <t>adm.UV_WOHNKANTON='BS'</t>
  </si>
  <si>
    <t>WOHNKANTON_FR</t>
  </si>
  <si>
    <t>adm.UV_WOHNKANTON='FR'</t>
  </si>
  <si>
    <t>WOHNKANTON_GE</t>
  </si>
  <si>
    <t>adm.UV_WOHNKANTON='GE'</t>
  </si>
  <si>
    <t>WOHNKANTON_GL</t>
  </si>
  <si>
    <t>adm.UV_WOHNKANTON='GL'</t>
  </si>
  <si>
    <t>WOHNKANTON_GR</t>
  </si>
  <si>
    <t>adm.UV_WOHNKANTON='GR'</t>
  </si>
  <si>
    <t>WOHNKANTON_JU</t>
  </si>
  <si>
    <t>adm.UV_WOHNKANTON='JU'</t>
  </si>
  <si>
    <t>WOHNKANTON_LU</t>
  </si>
  <si>
    <t>adm.UV_WOHNKANTON='LU'</t>
  </si>
  <si>
    <t>WOHNKANTON_NE</t>
  </si>
  <si>
    <t>adm.UV_WOHNKANTON='NE'</t>
  </si>
  <si>
    <t>WOHNKANTON_NW</t>
  </si>
  <si>
    <t>adm.UV_WOHNKANTON='NW'</t>
  </si>
  <si>
    <t>WOHNKANTON_OW</t>
  </si>
  <si>
    <t>adm.UV_WOHNKANTON='OW'</t>
  </si>
  <si>
    <t>WOHNKANTON_SG</t>
  </si>
  <si>
    <t>adm.UV_WOHNKANTON='SG'</t>
  </si>
  <si>
    <t>WOHNKANTON_SH</t>
  </si>
  <si>
    <t>adm.UV_WOHNKANTON='SH'</t>
  </si>
  <si>
    <t>WOHNKANTON_SO</t>
  </si>
  <si>
    <t>adm.UV_WOHNKANTON='SO'</t>
  </si>
  <si>
    <t>WOHNKANTON_SZ</t>
  </si>
  <si>
    <t>adm.UV_WOHNKANTON='SZ'</t>
  </si>
  <si>
    <t>WOHNKANTON_TG</t>
  </si>
  <si>
    <t>adm.UV_WOHNKANTON='TG'</t>
  </si>
  <si>
    <t>WOHNKANTON_TI</t>
  </si>
  <si>
    <t>adm.UV_WOHNKANTON='TI'</t>
  </si>
  <si>
    <t>WOHNKANTON_UR</t>
  </si>
  <si>
    <t>adm.UV_WOHNKANTON='UR'</t>
  </si>
  <si>
    <t>WOHNKANTON_VD</t>
  </si>
  <si>
    <t>adm.UV_WOHNKANTON='VD'</t>
  </si>
  <si>
    <t>WOHNKANTON_VS</t>
  </si>
  <si>
    <t>adm.UV_WOHNKANTON='VS'</t>
  </si>
  <si>
    <t>WOHNKANTON_ZG</t>
  </si>
  <si>
    <t>adm.UV_WOHNKANTON='ZG'</t>
  </si>
  <si>
    <t>WOHNKANTON_ZH</t>
  </si>
  <si>
    <t>adm.UV_WOHNKANTON='ZH'</t>
  </si>
  <si>
    <t>VGL_ABS_0727</t>
  </si>
  <si>
    <t>ANZ_0727, PDP_ANZ_0727</t>
  </si>
  <si>
    <t>ANZ_0727 kfc</t>
  </si>
  <si>
    <t>JOIN PDP_ANZ_0727 kfc2 ON kfc.BO_KEY = kfc2.BO_KEY AND kfc.CHARACTERISTIC = kfc2.CHARACTERISTIC</t>
  </si>
  <si>
    <t>VGL_REL_0727</t>
  </si>
  <si>
    <t>ANZ_0728_AKUT</t>
  </si>
  <si>
    <t>adm.UV_GESCHLECHT</t>
  </si>
  <si>
    <t>GESCHLECHT_1</t>
  </si>
  <si>
    <t>adm.UV_GESCHLECHT=1</t>
  </si>
  <si>
    <t>GESCHLECHT_2</t>
  </si>
  <si>
    <t>adm.UV_GESCHLECHT=2</t>
  </si>
  <si>
    <t>ANZ_0728_PSY</t>
  </si>
  <si>
    <t>ANZ_0728_REHA</t>
  </si>
  <si>
    <t>VGL_ABS_0728_AKUT</t>
  </si>
  <si>
    <t>ANZ_0728_AKUT, PDP_ANZ_0728_AKUT</t>
  </si>
  <si>
    <t>ANZ_0728_AKUT kfc</t>
  </si>
  <si>
    <t>JOIN PDP_ANZ_0728_AKUT kfc2 ON kfc.BO_KEY = kfc2.BO_KEY AND kfc.CHARACTERISTIC = kfc2.CHARACTERISTIC</t>
  </si>
  <si>
    <t>VGL_ABS_0728_PSY</t>
  </si>
  <si>
    <t>ANZ_0728_PSY, PDP_ANZ_0728_PSY</t>
  </si>
  <si>
    <t>ANZ_0728_PSY kfc</t>
  </si>
  <si>
    <t>JOIN PDP_ANZ_0728_PSY kfc2 ON kfc.BO_KEY = kfc2.BO_KEY AND kfc.CHARACTERISTIC = kfc2.CHARACTERISTIC</t>
  </si>
  <si>
    <t>VGL_ABS_0728_REHA</t>
  </si>
  <si>
    <t>ANZ_0728_REHA, PDP_ANZ_0728_REHA</t>
  </si>
  <si>
    <t>ANZ_0728_REHA kfc</t>
  </si>
  <si>
    <t>JOIN PDP_ANZ_0728_REHA kfc2 ON kfc.BO_KEY = kfc2.BO_KEY AND kfc.CHARACTERISTIC = kfc2.CHARACTERISTIC</t>
  </si>
  <si>
    <t>VGL_REL_0728_AKUT</t>
  </si>
  <si>
    <t>VGL_REL_0728_PSY</t>
  </si>
  <si>
    <t>VGL_REL_0728_REHA</t>
  </si>
  <si>
    <t>ANZ_0729_AKUT</t>
  </si>
  <si>
    <t>adm.UV_VERSICHERUNGSKLASSE</t>
  </si>
  <si>
    <t>VERSICHERUNGSKLASSE_1</t>
  </si>
  <si>
    <t>adm.UV_VERSICHERUNGSKLASSE=1</t>
  </si>
  <si>
    <t>VERSICHERUNGSKLASSE_2</t>
  </si>
  <si>
    <t>adm.UV_VERSICHERUNGSKLASSE=2</t>
  </si>
  <si>
    <t>VERSICHERUNGSKLASSE_3</t>
  </si>
  <si>
    <t>adm.UV_VERSICHERUNGSKLASSE=3</t>
  </si>
  <si>
    <t>VERSICHERUNGSKLASSE_8</t>
  </si>
  <si>
    <t>adm.UV_VERSICHERUNGSKLASSE=8</t>
  </si>
  <si>
    <t>VERSICHERUNGSKLASSE_9</t>
  </si>
  <si>
    <t>adm.UV_VERSICHERUNGSKLASSE=9</t>
  </si>
  <si>
    <t>ANZ_0729_PSY</t>
  </si>
  <si>
    <t>ANZ_0729_REHA</t>
  </si>
  <si>
    <t>VGL_ABS_0729_AKUT</t>
  </si>
  <si>
    <t>ANZ_0729_AKUT, PDP_ANZ_0729_AKUT</t>
  </si>
  <si>
    <t>ANZ_0729_AKUT kfc</t>
  </si>
  <si>
    <t>JOIN PDP_ANZ_0729_AKUT kfc2 ON kfc.BO_KEY = kfc2.BO_KEY AND kfc.CHARACTERISTIC = kfc2.CHARACTERISTIC</t>
  </si>
  <si>
    <t>VGL_ABS_0729_PSY</t>
  </si>
  <si>
    <t>ANZ_0729_PSY, PDP_ANZ_0729_PSY</t>
  </si>
  <si>
    <t>ANZ_0729_PSY kfc</t>
  </si>
  <si>
    <t>JOIN PDP_ANZ_0729_PSY kfc2 ON kfc.BO_KEY = kfc2.BO_KEY AND kfc.CHARACTERISTIC = kfc2.CHARACTERISTIC</t>
  </si>
  <si>
    <t>VGL_ABS_0729_REHA</t>
  </si>
  <si>
    <t>ANZ_0729_REHA, PDP_ANZ_0729_REHA</t>
  </si>
  <si>
    <t>ANZ_0729_REHA kfc</t>
  </si>
  <si>
    <t>JOIN PDP_ANZ_0729_REHA kfc2 ON kfc.BO_KEY = kfc2.BO_KEY AND kfc.CHARACTERISTIC = kfc2.CHARACTERISTIC</t>
  </si>
  <si>
    <t>VGL_REL_0729_AKUT</t>
  </si>
  <si>
    <t>VGL_REL_0729_PSY</t>
  </si>
  <si>
    <t>VGL_REL_0729_REHA</t>
  </si>
  <si>
    <t>ANZ_0732</t>
  </si>
  <si>
    <t>PERSONENIDENTIFIKATOREN</t>
  </si>
  <si>
    <t>per.UV_AHV</t>
  </si>
  <si>
    <t>AHV_FIKTIV</t>
  </si>
  <si>
    <t>per.UV_AHV='7569999999991'</t>
  </si>
  <si>
    <t>PERSONENIDENTIFIKATOREN per</t>
  </si>
  <si>
    <t>ANTEIL_0732</t>
  </si>
  <si>
    <t>TRUNC(SUM(CASE WHEN kfc.CHARACTERISTIC = 'AHV_FIKTIV' THEN NVL(kfc.VALUE,0) END) / SUM(CASE WHEN kfc.CHARACTERISTIC = 'TOTAL' AND NVL(kfc.VALUE,0) &lt;&gt; 0 THEN NVL(kfc.VALUE,0) END),10)</t>
  </si>
  <si>
    <t>'AHV_FIKTIV' AS Characteristic</t>
  </si>
  <si>
    <t>ANZ_0732 kfc</t>
  </si>
  <si>
    <t>ANZ_0733</t>
  </si>
  <si>
    <t>adm.UV_EINTRITTSART</t>
  </si>
  <si>
    <t>EINTRITTSART_1</t>
  </si>
  <si>
    <t>adm.UV_EINTRITTSART=1</t>
  </si>
  <si>
    <t>EINTRITTSART_2</t>
  </si>
  <si>
    <t>adm.UV_EINTRITTSART=2</t>
  </si>
  <si>
    <t>EINTRITTSART_3</t>
  </si>
  <si>
    <t>adm.UV_EINTRITTSART=3</t>
  </si>
  <si>
    <t>EINTRITTSART_4</t>
  </si>
  <si>
    <t>adm.UV_EINTRITTSART=4</t>
  </si>
  <si>
    <t>EINTRITTSART_5</t>
  </si>
  <si>
    <t>adm.UV_EINTRITTSART=5</t>
  </si>
  <si>
    <t>EINTRITTSART_6</t>
  </si>
  <si>
    <t>adm.UV_EINTRITTSART=6</t>
  </si>
  <si>
    <t>EINTRITTSART_7</t>
  </si>
  <si>
    <t>adm.UV_EINTRITTSART=7</t>
  </si>
  <si>
    <t>EINTRITTSART_8</t>
  </si>
  <si>
    <t>adm.UV_EINTRITTSART=8</t>
  </si>
  <si>
    <t>EINTRITTSART_9</t>
  </si>
  <si>
    <t>adm.UV_EINTRITTSART=9</t>
  </si>
  <si>
    <t>VGL_ABS_0733</t>
  </si>
  <si>
    <t>ANZ_0733, PDP_ANZ_0733</t>
  </si>
  <si>
    <t>ANZ_0733 kfc</t>
  </si>
  <si>
    <t>JOIN PDP_ANZ_0733 kfc2 ON kfc.BO_KEY = kfc2.BO_KEY AND kfc.CHARACTERISTIC = kfc2.CHARACTERISTIC</t>
  </si>
  <si>
    <t>VGL_REL_0733</t>
  </si>
  <si>
    <t>ANZ_0734</t>
  </si>
  <si>
    <t>adm.UV_EINTRITT_AUFENTHALT</t>
  </si>
  <si>
    <t>EINTRITT_AUFENTHALT_1_2</t>
  </si>
  <si>
    <t>adm.UV_EINTRITT_AUFENTHALT IN (1,2)</t>
  </si>
  <si>
    <t>EINTRITT_AUFENTHALT_3_4</t>
  </si>
  <si>
    <t>adm.UV_EINTRITT_AUFENTHALT IN (3,4)</t>
  </si>
  <si>
    <t>EINTRITT_AUFENTHALT_5_55</t>
  </si>
  <si>
    <t>adm.UV_EINTRITT_AUFENTHALT IN (5,55)</t>
  </si>
  <si>
    <t>EINTRITT_AUFENTHALT_6_66</t>
  </si>
  <si>
    <t>adm.UV_EINTRITT_AUFENTHALT IN (6,66)</t>
  </si>
  <si>
    <t>EINTRITT_AUFENTHALT_7</t>
  </si>
  <si>
    <t>adm.UV_EINTRITT_AUFENTHALT=7</t>
  </si>
  <si>
    <t>EINTRITT_AUFENTHALT_8</t>
  </si>
  <si>
    <t>adm.UV_EINTRITT_AUFENTHALT=8</t>
  </si>
  <si>
    <t>EINTRITT_AUFENTHALT_83_84</t>
  </si>
  <si>
    <t>adm.UV_EINTRITT_AUFENTHALT IN (83,84)</t>
  </si>
  <si>
    <t>EINTRITT_AUFENTHALT_9</t>
  </si>
  <si>
    <t>adm.UV_EINTRITT_AUFENTHALT=9</t>
  </si>
  <si>
    <t>VGL_ABS_0734</t>
  </si>
  <si>
    <t>ANZ_0734, PDP_ANZ_0734</t>
  </si>
  <si>
    <t>ANZ_0734 kfc</t>
  </si>
  <si>
    <t>JOIN PDP_ANZ_0734 kfc2 ON kfc.BO_KEY = kfc2.BO_KEY AND kfc.CHARACTERISTIC = kfc2.CHARACTERISTIC</t>
  </si>
  <si>
    <t>VGL_REL_0734</t>
  </si>
  <si>
    <t>ANZ_0735</t>
  </si>
  <si>
    <t>adm.UV_EINW_INSTANZ</t>
  </si>
  <si>
    <t>EINW_INST_1</t>
  </si>
  <si>
    <t>adm.UV_EINW_INSTANZ=1</t>
  </si>
  <si>
    <t>EINW_INST_2</t>
  </si>
  <si>
    <t>adm.UV_EINW_INSTANZ=2</t>
  </si>
  <si>
    <t>EINW_INST_3</t>
  </si>
  <si>
    <t>adm.UV_EINW_INSTANZ=3</t>
  </si>
  <si>
    <t>EINW_INST_4</t>
  </si>
  <si>
    <t>adm.UV_EINW_INSTANZ=4</t>
  </si>
  <si>
    <t>EINW_INST_5</t>
  </si>
  <si>
    <t>adm.UV_EINW_INSTANZ=5</t>
  </si>
  <si>
    <t>EINW_INST_6</t>
  </si>
  <si>
    <t>adm.UV_EINW_INSTANZ=6</t>
  </si>
  <si>
    <t>EINW_INST_8</t>
  </si>
  <si>
    <t>adm.UV_EINW_INSTANZ=8</t>
  </si>
  <si>
    <t>EINW_INST_9</t>
  </si>
  <si>
    <t>adm.UV_EINW_INSTANZ=9</t>
  </si>
  <si>
    <t>VGL_ABS_0735</t>
  </si>
  <si>
    <t>ANZ_0735, PDP_ANZ_0735</t>
  </si>
  <si>
    <t>ANZ_0735 kfc</t>
  </si>
  <si>
    <t>JOIN PDP_ANZ_0735 kfc2 ON kfc.BO_KEY = kfc2.BO_KEY AND kfc.CHARACTERISTIC = kfc2.CHARACTERISTIC</t>
  </si>
  <si>
    <t>VGL_REL_0735</t>
  </si>
  <si>
    <t>SUM_0736</t>
  </si>
  <si>
    <t>NVL(adm.UV_AUFENTHALT_IPS,0)</t>
  </si>
  <si>
    <t>AUFENTHALT_IPS</t>
  </si>
  <si>
    <t>VGL_ABS_0736</t>
  </si>
  <si>
    <t>SUM_0736, PDP_SUM_0736</t>
  </si>
  <si>
    <t>SUM_0736 kfc</t>
  </si>
  <si>
    <t>JOIN PDP_SUM_0736 kfc2 ON kfc.BO_KEY = kfc2.BO_KEY AND kfc.CHARACTERISTIC = kfc2.CHARACTERISTIC</t>
  </si>
  <si>
    <t>VGL_REL_0736</t>
  </si>
  <si>
    <t>SUM_0737</t>
  </si>
  <si>
    <t>NVL(adm.UV_BEATMUNG,0)</t>
  </si>
  <si>
    <t>BEATMUNG</t>
  </si>
  <si>
    <t>VGL_ABS_0737</t>
  </si>
  <si>
    <t>SUM_0737, PDP_SUM_0737</t>
  </si>
  <si>
    <t>SUM_0737 kfc</t>
  </si>
  <si>
    <t>JOIN PDP_SUM_0737 kfc2 ON kfc.BO_KEY = kfc2.BO_KEY AND kfc.CHARACTERISTIC = kfc2.CHARACTERISTIC</t>
  </si>
  <si>
    <t>VGL_REL_0737</t>
  </si>
  <si>
    <t>SUM_0738_AKUT</t>
  </si>
  <si>
    <t>NVL(adm.UV_ADMIN_URLAUB,0)</t>
  </si>
  <si>
    <t>URLAUB</t>
  </si>
  <si>
    <t>SUM_0738_PSY</t>
  </si>
  <si>
    <t>SUM_0738_REHA</t>
  </si>
  <si>
    <t>VGL_ABS_0738_AKUT</t>
  </si>
  <si>
    <t>SUM_0738_AKUT, PDP_SUM_0738_AKUT</t>
  </si>
  <si>
    <t>SUM_0738_AKUT kfc</t>
  </si>
  <si>
    <t>JOIN PDP_SUM_0738_AKUT kfc2 ON kfc.BO_KEY = kfc2.BO_KEY AND kfc.CHARACTERISTIC = kfc2.CHARACTERISTIC</t>
  </si>
  <si>
    <t>VGL_ABS_0738_PSY</t>
  </si>
  <si>
    <t>SUM_0738_PSY, PDP_SUM_0738_PSY</t>
  </si>
  <si>
    <t>SUM_0738_PSY kfc</t>
  </si>
  <si>
    <t>JOIN PDP_SUM_0738_PSY kfc2 ON kfc.BO_KEY = kfc2.BO_KEY AND kfc.CHARACTERISTIC = kfc2.CHARACTERISTIC</t>
  </si>
  <si>
    <t>VGL_ABS_0738_REHA</t>
  </si>
  <si>
    <t>SUM_0738_REHA, PDP_SUM_0738_REHA</t>
  </si>
  <si>
    <t>SUM_0738_REHA kfc</t>
  </si>
  <si>
    <t>JOIN PDP_SUM_0738_REHA kfc2 ON kfc.BO_KEY = kfc2.BO_KEY AND kfc.CHARACTERISTIC = kfc2.CHARACTERISTIC</t>
  </si>
  <si>
    <t>VGL_REL_0738_AKUT</t>
  </si>
  <si>
    <t>VGL_REL_0738_PSY</t>
  </si>
  <si>
    <t>VGL_REL_0738_REHA</t>
  </si>
  <si>
    <t>ANZ_0739</t>
  </si>
  <si>
    <t>adm.UV_AUSTRITTSENTSCHEID</t>
  </si>
  <si>
    <t>AUSTRITTSENTSCHEID_1</t>
  </si>
  <si>
    <t>adm.UV_AUSTRITTSENTSCHEID=1</t>
  </si>
  <si>
    <t>AUSTRITTSENTSCHEID_2</t>
  </si>
  <si>
    <t>adm.UV_AUSTRITTSENTSCHEID=2</t>
  </si>
  <si>
    <t>AUSTRITTSENTSCHEID_3</t>
  </si>
  <si>
    <t>adm.UV_AUSTRITTSENTSCHEID=3</t>
  </si>
  <si>
    <t>AUSTRITTSENTSCHEID_4</t>
  </si>
  <si>
    <t>adm.UV_AUSTRITTSENTSCHEID=4</t>
  </si>
  <si>
    <t>AUSTRITTSENTSCHEID_5</t>
  </si>
  <si>
    <t>adm.UV_AUSTRITTSENTSCHEID=5</t>
  </si>
  <si>
    <t>AUSTRITTSENTSCHEID_8</t>
  </si>
  <si>
    <t>adm.UV_AUSTRITTSENTSCHEID=8</t>
  </si>
  <si>
    <t>AUSTRITTSENTSCHEID_9</t>
  </si>
  <si>
    <t>adm.UV_AUSTRITTSENTSCHEID=9</t>
  </si>
  <si>
    <t>VGL_ABS_0739</t>
  </si>
  <si>
    <t>ANZ_0739, PDP_ANZ_0739</t>
  </si>
  <si>
    <t>ANZ_0739 kfc</t>
  </si>
  <si>
    <t>JOIN PDP_ANZ_0739 kfc2 ON kfc.BO_KEY = kfc2.BO_KEY AND kfc.CHARACTERISTIC = kfc2.CHARACTERISTIC</t>
  </si>
  <si>
    <t>VGL_REL_0739</t>
  </si>
  <si>
    <t>ANZ_0740</t>
  </si>
  <si>
    <t>adm.UV_AUSTRITT_AUFENTHALT</t>
  </si>
  <si>
    <t>AUSTRITT_AUFENTHALT_0</t>
  </si>
  <si>
    <t>adm.UV_AUSTRITT_AUFENTHALT=0</t>
  </si>
  <si>
    <t>AUSTRITT_AUFENTHALT_1</t>
  </si>
  <si>
    <t>adm.UV_AUSTRITT_AUFENTHALT=1</t>
  </si>
  <si>
    <t>AUSTRITT_AUFENTHALT_2_3</t>
  </si>
  <si>
    <t>adm.UV_AUSTRITT_AUFENTHALT IN (2,3)</t>
  </si>
  <si>
    <t>AUSTRITT_AUFENTHALT_4_44</t>
  </si>
  <si>
    <t>adm.UV_AUSTRITT_AUFENTHALT IN (4,44)</t>
  </si>
  <si>
    <t>AUSTRITT_AUFENTHALT_5_55</t>
  </si>
  <si>
    <t>adm.UV_AUSTRITT_AUFENTHALT IN (5,55)</t>
  </si>
  <si>
    <t>AUSTRITT_AUFENTHALT_6_66</t>
  </si>
  <si>
    <t>adm.UV_AUSTRITT_AUFENTHALT IN (6,66)</t>
  </si>
  <si>
    <t>AUSTRITT_AUFENTHALT_7</t>
  </si>
  <si>
    <t>adm.UV_AUSTRITT_AUFENTHALT=7</t>
  </si>
  <si>
    <t>AUSTRITT_AUFENTHALT_8</t>
  </si>
  <si>
    <t>adm.UV_AUSTRITT_AUFENTHALT=8</t>
  </si>
  <si>
    <t>AUSTRITT_AUFENTHALT_9</t>
  </si>
  <si>
    <t>adm.UV_AUSTRITT_AUFENTHALT=9</t>
  </si>
  <si>
    <t>VGL_ABS_0740</t>
  </si>
  <si>
    <t>ANZ_0740, PDP_ANZ_0740</t>
  </si>
  <si>
    <t>ANZ_0740 kfc</t>
  </si>
  <si>
    <t>JOIN PDP_ANZ_0740 kfc2 ON kfc.BO_KEY = kfc2.BO_KEY AND kfc.CHARACTERISTIC = kfc2.CHARACTERISTIC</t>
  </si>
  <si>
    <t>VGL_REL_0740</t>
  </si>
  <si>
    <t>ANZ_0741</t>
  </si>
  <si>
    <t>adm.UV_AUSTRITT_BEHANDLUNG</t>
  </si>
  <si>
    <t>AUSTRITT_BEHANDLUNG_0</t>
  </si>
  <si>
    <t>adm.UV_AUSTRITT_BEHANDLUNG=0</t>
  </si>
  <si>
    <t>AUSTRITT_BEHANDLUNG_1</t>
  </si>
  <si>
    <t>adm.UV_AUSTRITT_BEHANDLUNG=1</t>
  </si>
  <si>
    <t>AUSTRITT_BEHANDLUNG_2</t>
  </si>
  <si>
    <t>adm.UV_AUSTRITT_BEHANDLUNG=2</t>
  </si>
  <si>
    <t>AUSTRITT_BEHANDLUNG_3</t>
  </si>
  <si>
    <t>adm.UV_AUSTRITT_BEHANDLUNG=3</t>
  </si>
  <si>
    <t>AUSTRITT_BEHANDLUNG_4</t>
  </si>
  <si>
    <t>adm.UV_AUSTRITT_BEHANDLUNG=4</t>
  </si>
  <si>
    <t>AUSTRITT_BEHANDLUNG_5</t>
  </si>
  <si>
    <t>adm.UV_AUSTRITT_BEHANDLUNG=5</t>
  </si>
  <si>
    <t>AUSTRITT_BEHANDLUNG_8</t>
  </si>
  <si>
    <t>adm.UV_AUSTRITT_BEHANDLUNG=8</t>
  </si>
  <si>
    <t>AUSTRITT_BEHANDLUNG_9</t>
  </si>
  <si>
    <t>adm.UV_AUSTRITT_BEHANDLUNG=9</t>
  </si>
  <si>
    <t>VGL_ABS_0741</t>
  </si>
  <si>
    <t>ANZ_0741, PDP_ANZ_0741</t>
  </si>
  <si>
    <t>ANZ_0741 kfc</t>
  </si>
  <si>
    <t>JOIN PDP_ANZ_0741 kfc2 ON kfc.BO_KEY = kfc2.BO_KEY AND kfc.CHARACTERISTIC = kfc2.CHARACTERISTIC</t>
  </si>
  <si>
    <t>VGL_REL_0741</t>
  </si>
  <si>
    <t>ANZ_0743</t>
  </si>
  <si>
    <t>drg.CF</t>
  </si>
  <si>
    <t>INLIER</t>
  </si>
  <si>
    <t>drg.CF = '01'</t>
  </si>
  <si>
    <t>HIGH_OUTLIER</t>
  </si>
  <si>
    <t>drg.CF = '02'</t>
  </si>
  <si>
    <t>LOW_OUTLIER</t>
  </si>
  <si>
    <t>drg.CF = '03'</t>
  </si>
  <si>
    <t>VGL_ABS_0743</t>
  </si>
  <si>
    <t>ANZ_0743, PDP_ANZ_0743</t>
  </si>
  <si>
    <t>ANZ_0743 kfc</t>
  </si>
  <si>
    <t>JOIN PDP_ANZ_0743 kfc2 ON kfc.BO_KEY = kfc2.BO_KEY AND kfc.CHARACTERISTIC = kfc2.CHARACTERISTIC</t>
  </si>
  <si>
    <t>VGL_REL_0743</t>
  </si>
  <si>
    <t>ANZ_0747_KTF</t>
  </si>
  <si>
    <t>ktf.UV_KTR_TYP</t>
  </si>
  <si>
    <t>KTR_TYP_1</t>
  </si>
  <si>
    <t>ktf.UV_KTR_TYP=1</t>
  </si>
  <si>
    <t>KTR_TYP_10</t>
  </si>
  <si>
    <t>ktf.UV_KTR_TYP=10</t>
  </si>
  <si>
    <t>KTR_TYP_101</t>
  </si>
  <si>
    <t>ktf.UV_KTR_TYP=101</t>
  </si>
  <si>
    <t>KTR_TYP_102</t>
  </si>
  <si>
    <t>ktf.UV_KTR_TYP=102</t>
  </si>
  <si>
    <t>KTR_TYP_2</t>
  </si>
  <si>
    <t>ktf.UV_KTR_TYP BETWEEN 200 AND 299</t>
  </si>
  <si>
    <t>KTR_TYP_3</t>
  </si>
  <si>
    <t>ktf.UV_KTR_TYP BETWEEN 300 AND 399</t>
  </si>
  <si>
    <t>KTR_TYP_4</t>
  </si>
  <si>
    <t>ktf.UV_KTR_TYP BETWEEN 400 AND 499</t>
  </si>
  <si>
    <t>KTR_TYP_5</t>
  </si>
  <si>
    <t>ktf.UV_KTR_TYP BETWEEN 500 AND 599</t>
  </si>
  <si>
    <t>KTR_TYP_6</t>
  </si>
  <si>
    <t>ktf.UV_KTR_TYP BETWEEN 600 AND 699</t>
  </si>
  <si>
    <t>KTR_TYP_7</t>
  </si>
  <si>
    <t>ktf.UV_KTR_TYP BETWEEN 700 AND 799</t>
  </si>
  <si>
    <t>KTR_TYP_8</t>
  </si>
  <si>
    <t>ktf.UV_KTR_TYP=801</t>
  </si>
  <si>
    <t>ANZ_0747_KTS</t>
  </si>
  <si>
    <t>kts.UV_KTR_TYP</t>
  </si>
  <si>
    <t>kts.UV_KTR_TYP=1</t>
  </si>
  <si>
    <t>kts.UV_KTR_TYP=10</t>
  </si>
  <si>
    <t>kts.UV_KTR_TYP=101</t>
  </si>
  <si>
    <t>kts.UV_KTR_TYP=102</t>
  </si>
  <si>
    <t>kts.UV_KTR_TYP BETWEEN 200 AND 299</t>
  </si>
  <si>
    <t>kts.UV_KTR_TYP BETWEEN 300 AND 399</t>
  </si>
  <si>
    <t>kts.UV_KTR_TYP BETWEEN 400 AND 499</t>
  </si>
  <si>
    <t>kts.UV_KTR_TYP BETWEEN 500 AND 599</t>
  </si>
  <si>
    <t>kts.UV_KTR_TYP BETWEEN 600 AND 699</t>
  </si>
  <si>
    <t>kts.UV_KTR_TYP BETWEEN 700 AND 799</t>
  </si>
  <si>
    <t>kts.UV_KTR_TYP=801</t>
  </si>
  <si>
    <t>ANZ_0747_KTU</t>
  </si>
  <si>
    <t>ktu.UV_KTR_TYP</t>
  </si>
  <si>
    <t>ktu.UV_KTR_TYP=1</t>
  </si>
  <si>
    <t>ktu.UV_KTR_TYP=10</t>
  </si>
  <si>
    <t>ktu.UV_KTR_TYP=101</t>
  </si>
  <si>
    <t>ktu.UV_KTR_TYP=102</t>
  </si>
  <si>
    <t>ktu.UV_KTR_TYP BETWEEN 200 AND 299</t>
  </si>
  <si>
    <t>ktu.UV_KTR_TYP BETWEEN 300 AND 399</t>
  </si>
  <si>
    <t>ktu.UV_KTR_TYP BETWEEN 400 AND 499</t>
  </si>
  <si>
    <t>ktu.UV_KTR_TYP BETWEEN 500 AND 599</t>
  </si>
  <si>
    <t>ktu.UV_KTR_TYP BETWEEN 600 AND 699</t>
  </si>
  <si>
    <t>ktu.UV_KTR_TYP BETWEEN 700 AND 799</t>
  </si>
  <si>
    <t>ktu.UV_KTR_TYP=801</t>
  </si>
  <si>
    <t>ANZ_0747</t>
  </si>
  <si>
    <t>ANZ_0747_KTF, ANZ_0747_KTS, ANZ_0747_KTU</t>
  </si>
  <si>
    <t>ANZ_0747_KTF kfc</t>
  </si>
  <si>
    <t>JOIN ANZ_0747_KTS kfc2 ON kfc.BO_KEY = kfc2.BO_KEY AND kfc.CHARACTERISTIC = kfc2.CHARACTERISTIC JOIN ANZ_0747_KTU kfc3 ON kfc.BO_KEY = kfc3.BO_KEY AND kfc.CHARACTERISTIC = kfc3.CHARACTERISTIC</t>
  </si>
  <si>
    <t>ANZ_0760_AKUT</t>
  </si>
  <si>
    <t>UEBERLIEGER</t>
  </si>
  <si>
    <t>adm.UV_ABC_FALL IN ('B','C') AND adm.UV_TARIF IN (1,2)</t>
  </si>
  <si>
    <t>ANZ_0760_PSY</t>
  </si>
  <si>
    <t>adm.UV_ABC_FALL IN ('B','C') AND adm.UV_TARIF IN (5,6)</t>
  </si>
  <si>
    <t>ANZ_0760_REHA</t>
  </si>
  <si>
    <t>adm.UV_ABC_FALL IN ('B','C') AND adm.UV_TARIF IN (3,4)</t>
  </si>
  <si>
    <t>ANZ_BC_0760_AKUT</t>
  </si>
  <si>
    <t>adm.UV_EINTRITTSDATUM</t>
  </si>
  <si>
    <t>SUBSTR(adm.UV_EINTRITTSDATUM,1,4) &lt; (SELECT DISTINCT JAHR FROM CO_UNITS_STAGING) AND adm.UV_TARIF IN (1,2)</t>
  </si>
  <si>
    <t>ANZ_BC_0760_PSY</t>
  </si>
  <si>
    <t>SUBSTR(adm.UV_EINTRITTSDATUM,1,4) &lt; (SELECT DISTINCT JAHR FROM CO_UNITS_STAGING) AND adm.UV_TARIF IN (5,6)</t>
  </si>
  <si>
    <t>ANZ_BC_0760_REHA</t>
  </si>
  <si>
    <t>SUBSTR(adm.UV_EINTRITTSDATUM,1,4) &lt; (SELECT DISTINCT JAHR FROM CO_UNITS_STAGING) AND adm.UV_TARIF IN (3,4)</t>
  </si>
  <si>
    <t>VGL_ABS_0760_AKUT</t>
  </si>
  <si>
    <t>ANZ_0760_AKUT, PDP_ANZ_BC_0760_AKUT</t>
  </si>
  <si>
    <t>ANZ_0760_AKUT kfc</t>
  </si>
  <si>
    <t>JOIN PDP_ANZ_BC_0760_AKUT kfc2 ON kfc.BO_KEY = kfc2.BO_KEY AND kfc.CHARACTERISTIC = kfc2.CHARACTERISTIC</t>
  </si>
  <si>
    <t>VGL_ABS_0760_PSY</t>
  </si>
  <si>
    <t>ANZ_0760_PSY, PDP_ANZ_BC_0760_PSY</t>
  </si>
  <si>
    <t>ANZ_0760_PSY kfc</t>
  </si>
  <si>
    <t>JOIN PDP_ANZ_BC_0760_PSY kfc2 ON kfc.BO_KEY = kfc2.BO_KEY AND kfc.CHARACTERISTIC = kfc2.CHARACTERISTIC</t>
  </si>
  <si>
    <t>VGL_ABS_0760_REHA</t>
  </si>
  <si>
    <t>ANZ_0760_REHA, PDP_ANZ_BC_0760_REHA</t>
  </si>
  <si>
    <t>ANZ_0760_REHA kfc</t>
  </si>
  <si>
    <t>JOIN PDP_ANZ_BC_0760_REHA kfc2 ON kfc.BO_KEY = kfc2.BO_KEY AND kfc.CHARACTERISTIC = kfc2.CHARACTERISTIC</t>
  </si>
  <si>
    <t>BUR_0919</t>
  </si>
  <si>
    <t>CO_UNITS_STAGING</t>
  </si>
  <si>
    <t>sta.UNIT_IDENTIFIER</t>
  </si>
  <si>
    <t>MIN(Value)</t>
  </si>
  <si>
    <t>STANDORT_1</t>
  </si>
  <si>
    <t>ROWNUM=1</t>
  </si>
  <si>
    <t>CO_UNITS_STAGING sta</t>
  </si>
  <si>
    <t>STANDORT_2</t>
  </si>
  <si>
    <t>ROWNUM=2</t>
  </si>
  <si>
    <t>STANDORT_3</t>
  </si>
  <si>
    <t>ROWNUM=3</t>
  </si>
  <si>
    <t>STANDORT_4</t>
  </si>
  <si>
    <t>ROWNUM=4</t>
  </si>
  <si>
    <t>STANDORT_5</t>
  </si>
  <si>
    <t>ROWNUM=5</t>
  </si>
  <si>
    <t>STANDORT_6</t>
  </si>
  <si>
    <t>ROWNUM=6</t>
  </si>
  <si>
    <t>STANDORT_7</t>
  </si>
  <si>
    <t>ROWNUM=7</t>
  </si>
  <si>
    <t>STANDORT_8</t>
  </si>
  <si>
    <t>ROWNUM=8</t>
  </si>
  <si>
    <t>STANDORT_9</t>
  </si>
  <si>
    <t>ROWNUM=9</t>
  </si>
  <si>
    <t>STANDORT_10</t>
  </si>
  <si>
    <t>ROWNUM=10</t>
  </si>
  <si>
    <t>STANDORT_11</t>
  </si>
  <si>
    <t>ROWNUM=11</t>
  </si>
  <si>
    <t>STANDORT_12</t>
  </si>
  <si>
    <t>ROWNUM=12</t>
  </si>
  <si>
    <t>STANDORT_13</t>
  </si>
  <si>
    <t>ROWNUM=13</t>
  </si>
  <si>
    <t>STANDORT_14</t>
  </si>
  <si>
    <t>ROWNUM=14</t>
  </si>
  <si>
    <t>STANDORT_15</t>
  </si>
  <si>
    <t>ROWNUM=15</t>
  </si>
  <si>
    <t>STANDORT_16</t>
  </si>
  <si>
    <t>ROWNUM=16</t>
  </si>
  <si>
    <t>STANDORT_17</t>
  </si>
  <si>
    <t>ROWNUM=17</t>
  </si>
  <si>
    <t>STANDORT_18</t>
  </si>
  <si>
    <t>ROWNUM=18</t>
  </si>
  <si>
    <t>STANDORT_19</t>
  </si>
  <si>
    <t>ROWNUM=19</t>
  </si>
  <si>
    <t>STANDORT_20</t>
  </si>
  <si>
    <t>ROWNUM=20</t>
  </si>
  <si>
    <t>STANDORT_21</t>
  </si>
  <si>
    <t>ROWNUM=21</t>
  </si>
  <si>
    <t>STANDORT_22</t>
  </si>
  <si>
    <t>ROWNUM=22</t>
  </si>
  <si>
    <t>STANDORT_23</t>
  </si>
  <si>
    <t>ROWNUM=23</t>
  </si>
  <si>
    <t>STANDORT_24</t>
  </si>
  <si>
    <t>ROWNUM=24</t>
  </si>
  <si>
    <t>STANDORT_25</t>
  </si>
  <si>
    <t>ROWNUM=25</t>
  </si>
  <si>
    <t>STANDORT_26</t>
  </si>
  <si>
    <t>ROWNUM=26</t>
  </si>
  <si>
    <t>STANDORT_27</t>
  </si>
  <si>
    <t>ROWNUM=27</t>
  </si>
  <si>
    <t>STANDORT_28</t>
  </si>
  <si>
    <t>ROWNUM=28</t>
  </si>
  <si>
    <t>STANDORT_29</t>
  </si>
  <si>
    <t>ROWNUM=29</t>
  </si>
  <si>
    <t>STANDORT_30</t>
  </si>
  <si>
    <t>ROWNUM=30</t>
  </si>
  <si>
    <t>ANZ_0919</t>
  </si>
  <si>
    <t>BUR_0919, ADMINISTRATIVES</t>
  </si>
  <si>
    <t>COUNT(adm.UV_FALL_ID)</t>
  </si>
  <si>
    <t>BUR_0919 kfc</t>
  </si>
  <si>
    <t>JOIN ADMINISTRATIVES adm ON kfc.VALUE=adm.UV_BURNR</t>
  </si>
  <si>
    <t>kfc.BO_KEY,kfc.CHARACTERISTIC</t>
  </si>
  <si>
    <t>VGL_ABS_0919</t>
  </si>
  <si>
    <t>ANZ_0919, PDP_ANZ_0919, BUR_0919, PDP_BUR_0919</t>
  </si>
  <si>
    <t>ANZ_0919 kfc</t>
  </si>
  <si>
    <t>JOIN BUR_0919 bur1 ON kfc.CHARACTERISTIC = bur1.CHARACTERISTIC JOIN PDP_BUR_0919 bur2 ON bur1.VALUE = bur2.VALUE JOIN PDP_ANZ_0919 kfc2 ON bur2.CHARACTERISTIC = kfc2.CHARACTERISTIC</t>
  </si>
  <si>
    <t>VGL_REL_0919</t>
  </si>
  <si>
    <t>ANZ_1044_AKUT</t>
  </si>
  <si>
    <t>adm.UV_HAUPTLEISTUNGSSTELLE</t>
  </si>
  <si>
    <t>HAUPTLEISTUNGSSTELLE_M000</t>
  </si>
  <si>
    <t>adm.UV_HAUPTLEISTUNGSSTELLE='M000'</t>
  </si>
  <si>
    <t>HAUPTLEISTUNGSSTELLE_M050</t>
  </si>
  <si>
    <t>adm.UV_HAUPTLEISTUNGSSTELLE='M050'</t>
  </si>
  <si>
    <t>HAUPTLEISTUNGSSTELLE_M100</t>
  </si>
  <si>
    <t>adm.UV_HAUPTLEISTUNGSSTELLE='M100'</t>
  </si>
  <si>
    <t>HAUPTLEISTUNGSSTELLE_M200</t>
  </si>
  <si>
    <t>adm.UV_HAUPTLEISTUNGSSTELLE='M200'</t>
  </si>
  <si>
    <t>HAUPTLEISTUNGSSTELLE_M300</t>
  </si>
  <si>
    <t>adm.UV_HAUPTLEISTUNGSSTELLE='M300'</t>
  </si>
  <si>
    <t>HAUPTLEISTUNGSSTELLE_M400</t>
  </si>
  <si>
    <t>adm.UV_HAUPTLEISTUNGSSTELLE='M400'</t>
  </si>
  <si>
    <t>HAUPTLEISTUNGSSTELLE_M500</t>
  </si>
  <si>
    <t>adm.UV_HAUPTLEISTUNGSSTELLE='M500'</t>
  </si>
  <si>
    <t>HAUPTLEISTUNGSSTELLE_M600</t>
  </si>
  <si>
    <t>adm.UV_HAUPTLEISTUNGSSTELLE='M600'</t>
  </si>
  <si>
    <t>HAUPTLEISTUNGSSTELLE_M700</t>
  </si>
  <si>
    <t>adm.UV_HAUPTLEISTUNGSSTELLE='M700'</t>
  </si>
  <si>
    <t>HAUPTLEISTUNGSSTELLE_M800</t>
  </si>
  <si>
    <t>adm.UV_HAUPTLEISTUNGSSTELLE='M800'</t>
  </si>
  <si>
    <t>HAUPTLEISTUNGSSTELLE_M850</t>
  </si>
  <si>
    <t>adm.UV_HAUPTLEISTUNGSSTELLE='M850'</t>
  </si>
  <si>
    <t>HAUPTLEISTUNGSSTELLE_M900</t>
  </si>
  <si>
    <t>adm.UV_HAUPTLEISTUNGSSTELLE='M900'</t>
  </si>
  <si>
    <t>HAUPTLEISTUNGSSTELLE_M950</t>
  </si>
  <si>
    <t>adm.UV_HAUPTLEISTUNGSSTELLE='M950'</t>
  </si>
  <si>
    <t>HAUPTLEISTUNGSSTELLE_M960</t>
  </si>
  <si>
    <t>adm.UV_HAUPTLEISTUNGSSTELLE='M960'</t>
  </si>
  <si>
    <t>HAUPTLEISTUNGSSTELLE_M970</t>
  </si>
  <si>
    <t>adm.UV_HAUPTLEISTUNGSSTELLE='M970'</t>
  </si>
  <si>
    <t>HAUPTLEISTUNGSSTELLE_M990</t>
  </si>
  <si>
    <t>adm.UV_HAUPTLEISTUNGSSTELLE='M990'</t>
  </si>
  <si>
    <t>ANZ_1044_PSY</t>
  </si>
  <si>
    <t>ANZ_1044_REHA</t>
  </si>
  <si>
    <t>VGL_ABS_1044_AKUT</t>
  </si>
  <si>
    <t>ANZ_1044_AKUT, PDP_ANZ_1044_AKUT</t>
  </si>
  <si>
    <t>ANZ_1044_AKUT kfc</t>
  </si>
  <si>
    <t>JOIN PDP_ANZ_1044_AKUT kfc2 ON kfc.BO_KEY = kfc2.BO_KEY AND kfc.CHARACTERISTIC = kfc2.CHARACTERISTIC</t>
  </si>
  <si>
    <t>VGL_ABS_1044_PSY</t>
  </si>
  <si>
    <t>ANZ_1044_PSY, PDP_ANZ_1044_PSY</t>
  </si>
  <si>
    <t>ANZ_1044_PSY kfc</t>
  </si>
  <si>
    <t>JOIN PDP_ANZ_1044_PSY kfc2 ON kfc.BO_KEY = kfc2.BO_KEY AND kfc.CHARACTERISTIC = kfc2.CHARACTERISTIC</t>
  </si>
  <si>
    <t>VGL_ABS_1044_REHA</t>
  </si>
  <si>
    <t>ANZ_1044_REHA, PDP_ANZ_1044_REHA</t>
  </si>
  <si>
    <t>ANZ_1044_REHA kfc</t>
  </si>
  <si>
    <t>JOIN PDP_ANZ_1044_REHA kfc2 ON kfc.BO_KEY = kfc2.BO_KEY AND kfc.CHARACTERISTIC = kfc2.CHARACTERISTIC</t>
  </si>
  <si>
    <t>VGL_REL_1044_AKUT</t>
  </si>
  <si>
    <t>VGL_REL_1044_PSY</t>
  </si>
  <si>
    <t>VGL_REL_1044_REHA</t>
  </si>
  <si>
    <t>SUM_1059</t>
  </si>
  <si>
    <t>drg.LOS</t>
  </si>
  <si>
    <t>adm.UV_TARIF = 2</t>
  </si>
  <si>
    <t>adm.UV_TARIF = 4</t>
  </si>
  <si>
    <t>adm.UV_TARIF = 6</t>
  </si>
  <si>
    <t>TARIF_7</t>
  </si>
  <si>
    <t>adm.UV_TARIF = 7</t>
  </si>
  <si>
    <t>TARIF_0</t>
  </si>
  <si>
    <t>adm.UV_TARIF = 0</t>
  </si>
  <si>
    <t>VGL_ABS_1059</t>
  </si>
  <si>
    <t>SUM_1059, PDP_SUM_1059</t>
  </si>
  <si>
    <t>SUM_1059 kfc</t>
  </si>
  <si>
    <t>JOIN PDP_SUM_1059 kfc2 ON kfc.BO_KEY = kfc2.BO_KEY AND kfc.CHARACTERISTIC = kfc2.CHARACTERISTIC</t>
  </si>
  <si>
    <t>VGL_REL_1059</t>
  </si>
  <si>
    <t>ANZ_1065</t>
  </si>
  <si>
    <t>ADMINISTRATIVES, PSYCHIATRIE</t>
  </si>
  <si>
    <t>psy.UV_PSY_ENTSCH_AUSTRITT</t>
  </si>
  <si>
    <t>PSY_ENTSCH_AUSTRITT_51_52</t>
  </si>
  <si>
    <t>JOIN PSYCHIATRIE psy ON adm.UV_FALL_ID=psy.UV_FALL_ID AND adm.UV_BURNR=psy.UV_BURNR</t>
  </si>
  <si>
    <t>adm.UV_ABC_FALL= 'A' AND psy.UV_PSY_ENTSCH_AUSTRITT IN (51,52)</t>
  </si>
  <si>
    <t>ANZ_1069_AKUT</t>
  </si>
  <si>
    <t>ADMINISTRATIVES, PATIENTENBEWEGUNG</t>
  </si>
  <si>
    <t>pat.UV_EPISODE_ART</t>
  </si>
  <si>
    <t>EPISODE_ART_2</t>
  </si>
  <si>
    <t>JOIN PATIENTENBEWEGUNG pat ON adm.UV_FALL_ID=pat.UV_FALL_ID AND adm.UV_BURNR=pat.UV_BURNR</t>
  </si>
  <si>
    <t>pat.UV_EPISODE_ART=2 AND adm.UV_TARIF IN (1,2)</t>
  </si>
  <si>
    <t>ANZ_1069_PSY</t>
  </si>
  <si>
    <t>pat.UV_EPISODE_ART=2 AND adm.UV_TARIF IN (5,6)</t>
  </si>
  <si>
    <t>ANZ_1069_REHA</t>
  </si>
  <si>
    <t>pat.UV_EPISODE_ART=2 AND adm.UV_TARIF IN (3,4)</t>
  </si>
  <si>
    <t>VGL_ABS_1069_AKUT</t>
  </si>
  <si>
    <t>ANZ_1069_AKUT, PDP_ANZ_1069_AKUT</t>
  </si>
  <si>
    <t>ANZ_1069_AKUT kfc</t>
  </si>
  <si>
    <t>JOIN PDP_ANZ_1069_AKUT kfc2 ON kfc.BO_KEY = kfc2.BO_KEY AND kfc.CHARACTERISTIC = kfc2.CHARACTERISTIC</t>
  </si>
  <si>
    <t>VGL_ABS_1069_PSY</t>
  </si>
  <si>
    <t>ANZ_1069_PSY, PDP_ANZ_1069_PSY</t>
  </si>
  <si>
    <t>ANZ_1069_PSY kfc</t>
  </si>
  <si>
    <t>JOIN PDP_ANZ_1069_PSY kfc2 ON kfc.BO_KEY = kfc2.BO_KEY AND kfc.CHARACTERISTIC = kfc2.CHARACTERISTIC</t>
  </si>
  <si>
    <t>VGL_ABS_1069_REHA</t>
  </si>
  <si>
    <t>ANZ_1069_REHA, PDP_ANZ_1069_REHA</t>
  </si>
  <si>
    <t>ANZ_1069_REHA kfc</t>
  </si>
  <si>
    <t>JOIN PDP_ANZ_1069_REHA kfc2 ON kfc.BO_KEY = kfc2.BO_KEY AND kfc.CHARACTERISTIC = kfc2.CHARACTERISTIC</t>
  </si>
  <si>
    <t>VGL_REL_1069_AKUT</t>
  </si>
  <si>
    <t>VGL_REL_1069_PSY</t>
  </si>
  <si>
    <t>VGL_REL_1069_REHA</t>
  </si>
  <si>
    <t>ANZ_1070</t>
  </si>
  <si>
    <t>MEDIKAMENT</t>
  </si>
  <si>
    <t>med.UV_MEDI_ZUSATZ</t>
  </si>
  <si>
    <t>MEDI_ZUSATZ</t>
  </si>
  <si>
    <t>MEDIKAMENT med</t>
  </si>
  <si>
    <t>med.UV_MEDI_ZUSATZ IS NOT NULL</t>
  </si>
  <si>
    <t>AVG_1103</t>
  </si>
  <si>
    <t>COUNT(per.uv_fall_id)</t>
  </si>
  <si>
    <t>TRUNC(AVG(Value), 10)</t>
  </si>
  <si>
    <t>adm.UV_TARIF,per.UV_AHV,adm.UV_BURNR_GESV</t>
  </si>
  <si>
    <t>VGL_AVG_1103</t>
  </si>
  <si>
    <t>AVG_1103, PDP_AVG_1103</t>
  </si>
  <si>
    <t>AVG_1103 kfc</t>
  </si>
  <si>
    <t>JOIN PDP_AVG_1103 kfc2 ON kfc.BO_KEY = kfc2.BO_KEY AND kfc.CHARACTERISTIC = kfc2.CHARACTERISTIC</t>
  </si>
  <si>
    <t>AVG_1107</t>
  </si>
  <si>
    <t>adm.UV_ALTER</t>
  </si>
  <si>
    <t>VGL_AVG_1107</t>
  </si>
  <si>
    <t>AVG_1107, PDP_AVG_1107</t>
  </si>
  <si>
    <t>AVG_1107 kfc</t>
  </si>
  <si>
    <t>JOIN PDP_AVG_1107 kfc2 ON kfc.BO_KEY = kfc2.BO_KEY AND kfc.CHARACTERISTIC = kfc2.CHARACTERISTIC</t>
  </si>
  <si>
    <t>ANZ_1109</t>
  </si>
  <si>
    <t>adm.UV_NATIONALITAET</t>
  </si>
  <si>
    <t>NATIONALITAET_CHE</t>
  </si>
  <si>
    <t>adm.UV_NATIONALITAET='CHE'</t>
  </si>
  <si>
    <t>NATIONALITAET_FRA</t>
  </si>
  <si>
    <t>adm.UV_NATIONALITAET='FRA'</t>
  </si>
  <si>
    <t>NATIONALITAET_DEU</t>
  </si>
  <si>
    <t>adm.UV_NATIONALITAET='DEU'</t>
  </si>
  <si>
    <t>NATIONALITAET_ITA</t>
  </si>
  <si>
    <t>adm.UV_NATIONALITAET='ITA'</t>
  </si>
  <si>
    <t>NATIONALITAET_AUT</t>
  </si>
  <si>
    <t>adm.UV_NATIONALITAET='AUT'</t>
  </si>
  <si>
    <t>NATIONALITAET_LIE</t>
  </si>
  <si>
    <t>adm.UV_NATIONALITAET='LIE'</t>
  </si>
  <si>
    <t>ANZ_ADM_1115_1117</t>
  </si>
  <si>
    <t>adm.UV_FALL_ID</t>
  </si>
  <si>
    <t>ANZ_DIA_1115</t>
  </si>
  <si>
    <t>ADMINISTRATIVES, DIAGNOSE</t>
  </si>
  <si>
    <t>dia.UV_DIAGNOSE_ID</t>
  </si>
  <si>
    <t>JOIN DIAGNOSE dia ON adm.UV_FALL_ID=dia.UV_FALL_ID AND adm.UV_BURNR=dia.UV_BURNR</t>
  </si>
  <si>
    <t>AVG_1115</t>
  </si>
  <si>
    <t>ANZ_ADM_1115_1117, ANZ_DIA_1115</t>
  </si>
  <si>
    <t>ANZ_DIA_1115 kfc</t>
  </si>
  <si>
    <t>JOIN ANZ_ADM_1115_1117 kfc2 ON kfc.BO_KEY = kfc2.BO_KEY AND kfc.CHARACTERISTIC = kfc2.CHARACTERISTIC</t>
  </si>
  <si>
    <t>VGL_AVG_1115</t>
  </si>
  <si>
    <t>AVG_1115, PDP_AVG_1115</t>
  </si>
  <si>
    <t>AVG_1115 kfc</t>
  </si>
  <si>
    <t>JOIN PDP_AVG_1115 kfc2 ON kfc.BO_KEY = kfc2.BO_KEY AND kfc.CHARACTERISTIC = kfc2.CHARACTERISTIC</t>
  </si>
  <si>
    <t>ANZ_BEH_1117</t>
  </si>
  <si>
    <t>ADMINISTRATIVES, BEHANDLUNG</t>
  </si>
  <si>
    <t>beh.UV_BEHANDLUNG_ID</t>
  </si>
  <si>
    <t>JOIN BEHANDLUNG beh ON adm.UV_FALL_ID=beh.UV_FALL_ID AND adm.UV_BURNR=beh.UV_BURNR</t>
  </si>
  <si>
    <t>AVG_1117</t>
  </si>
  <si>
    <t>ANZ_ADM_1115_1117, ANZ_BEH_1117</t>
  </si>
  <si>
    <t>ANZ_BEH_1117 kfc</t>
  </si>
  <si>
    <t>VGL_AVG_1117</t>
  </si>
  <si>
    <t>AVG_1117, PDP_AVG_1117</t>
  </si>
  <si>
    <t>AVG_1117 kfc</t>
  </si>
  <si>
    <t>JOIN PDP_AVG_1117 kfc2 ON kfc.BO_KEY = kfc2.BO_KEY AND kfc.CHARACTERISTIC = kfc2.CHARACTERISTIC</t>
  </si>
  <si>
    <t>SUM_1465_KTF_ABZUG</t>
  </si>
  <si>
    <t>ADMINISTRATIVES, PDP_KOSTENTRAEGERFALL</t>
  </si>
  <si>
    <t>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</t>
  </si>
  <si>
    <t>STAT</t>
  </si>
  <si>
    <t xml:space="preserve">pdp.UV_KTR_TYP=1 </t>
  </si>
  <si>
    <t>JOIN PDP_KOSTENTRAEGERFALL pdp ON adm.UV_FALL_ID=pdp.UV_FALL_ID</t>
  </si>
  <si>
    <t>adm.UV_ABC_FALL IN ('B','C')</t>
  </si>
  <si>
    <t>SUM_1465_KTF_VOR_ABZUG</t>
  </si>
  <si>
    <t xml:space="preserve">ktf.UV_KTR_TYP=1 </t>
  </si>
  <si>
    <t>AMBU</t>
  </si>
  <si>
    <t>ktf.UV_KTR_TYP BETWEEN 200 AND 499</t>
  </si>
  <si>
    <t>NEBENBETRIEBE</t>
  </si>
  <si>
    <t>GWL</t>
  </si>
  <si>
    <t>ktf.UV_KTR_TYP BETWEEN 500 AND 799</t>
  </si>
  <si>
    <t>UEBRIGE</t>
  </si>
  <si>
    <t>SUM_1465_KTS</t>
  </si>
  <si>
    <t>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</t>
  </si>
  <si>
    <t>kts.UV_KTR_TYP IN (101,102)</t>
  </si>
  <si>
    <t>kts.UV_KTR_TYP BETWEEN 200 AND 499</t>
  </si>
  <si>
    <t>kts.UV_KTR_TYP BETWEEN 500 AND 799</t>
  </si>
  <si>
    <t>SUM_1465_KTU</t>
  </si>
  <si>
    <t>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</t>
  </si>
  <si>
    <t>ktu.UV_KTR_TYP IN (101,102)</t>
  </si>
  <si>
    <t>ktu.UV_KTR_TYP BETWEEN 200 AND 499</t>
  </si>
  <si>
    <t>ktu.UV_KTR_TYP BETWEEN 500 AND 799</t>
  </si>
  <si>
    <t>SUM_1465_KTF</t>
  </si>
  <si>
    <t>SUM_1465_KTF_VOR_ABZUG, SUM_1465_KTF_ABZUG</t>
  </si>
  <si>
    <t>SUM_1465_KTF_VOR_ABZUG kfc</t>
  </si>
  <si>
    <t>LEFT JOIN SUM_1465_KTF_ABZUG kfc2 ON kfc.BO_KEY = kfc2.BO_KEY AND kfc.CHARACTERISTIC = kfc2.CHARACTERISTIC</t>
  </si>
  <si>
    <t>SUM_1465</t>
  </si>
  <si>
    <t>SUM_1465_KTF, SUM_1465_KTS, SUM_1465_KTU</t>
  </si>
  <si>
    <t>SUM_1465_KTF kfc</t>
  </si>
  <si>
    <t>JOIN SUM_1465_KTS kfc2 ON kfc.BO_KEY = kfc2.BO_KEY AND kfc.CHARACTERISTIC = kfc2.CHARACTERISTIC JOIN SUM_1465_KTU kfc3 ON kfc.BO_KEY = kfc3.BO_KEY AND kfc.CHARACTERISTIC = kfc3.CHARACTERISTIC</t>
  </si>
  <si>
    <t>ANTEIL_1465</t>
  </si>
  <si>
    <t>SUM_1465, SUM_1465</t>
  </si>
  <si>
    <t>TRUNC(NVL(kfc.VALUE,0) / NVL(kfc_total.VALUE,0),10)</t>
  </si>
  <si>
    <t>SUM_1465 kfc</t>
  </si>
  <si>
    <t>JOIN SUM_1465 kfc_total ON kfc_total.CHARACTERISTIC = 'TOTAL'</t>
  </si>
  <si>
    <t>kfc_total.VALUE &lt;&gt; 0 AND kfc_total.VALUE IS NOT NULL</t>
  </si>
  <si>
    <t>VGL_ANTEIL_1465</t>
  </si>
  <si>
    <t>ANTEIL_1465, PDP_ANTEIL_1465</t>
  </si>
  <si>
    <t>ANTEIL_1465 kfc</t>
  </si>
  <si>
    <t>JOIN PDP_ANTEIL_1465 kfc2 ON kfc.BO_KEY = kfc2.BO_KEY AND kfc.CHARACTERISTIC = kfc2.CHARACTERISTIC</t>
  </si>
  <si>
    <t>SUM_1471_ABZUG</t>
  </si>
  <si>
    <t>adm.UV_ABC_FALL IN ('B','C') AND pdp.UV_KTR_TYP=1</t>
  </si>
  <si>
    <t>adm.UV_TARIF IN (0,2,4,6,7)</t>
  </si>
  <si>
    <t>SUM_1471_VOR_ABZUG</t>
  </si>
  <si>
    <t>SUM_1471</t>
  </si>
  <si>
    <t>SUM_1471_VOR_ABZUG, SUM_1471_ABZUG</t>
  </si>
  <si>
    <t>SUM_1471_VOR_ABZUG kfc</t>
  </si>
  <si>
    <t>JOIN SUM_1471_ABZUG kfc2 ON kfc.BO_KEY = kfc2.BO_KEY AND kfc.CHARACTERISTIC = kfc2.CHARACTERISTIC</t>
  </si>
  <si>
    <t>ANTEIL_1471</t>
  </si>
  <si>
    <t>SUM_1471, SUM_1471</t>
  </si>
  <si>
    <t>SUM_1471 kfc</t>
  </si>
  <si>
    <t>JOIN SUM_1471 kfc_total ON kfc_total.CHARACTERISTIC = 'TOTAL'</t>
  </si>
  <si>
    <t>VGL_ANTEIL_1471</t>
  </si>
  <si>
    <t>ANTEIL_1471, PDP_ANTEIL_1471</t>
  </si>
  <si>
    <t>ANTEIL_1471 kfc</t>
  </si>
  <si>
    <t>JOIN PDP_ANTEIL_1471 kfc2 ON kfc.BO_KEY = kfc2.BO_KEY AND kfc.CHARACTERISTIC = kfc2.CHARACTERISTIC</t>
  </si>
  <si>
    <t>SUM_1473_KTF_ABZUG</t>
  </si>
  <si>
    <t>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</t>
  </si>
  <si>
    <t>SUM_1473_KTF_VOR_ABZUG</t>
  </si>
  <si>
    <t>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</t>
  </si>
  <si>
    <t>SUM_1473_KTS</t>
  </si>
  <si>
    <t>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</t>
  </si>
  <si>
    <t>SUM_1473_KTU</t>
  </si>
  <si>
    <t>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</t>
  </si>
  <si>
    <t>SUM_1473_KTF</t>
  </si>
  <si>
    <t>SUM_1473_KTF_VOR_ABZUG, SUM_1473_KTF_ABZUG</t>
  </si>
  <si>
    <t>SUM_1473_KTF_VOR_ABZUG kfc</t>
  </si>
  <si>
    <t>LEFT JOIN SUM_1473_KTF_ABZUG kfc2 ON kfc.BO_KEY = kfc2.BO_KEY AND kfc.CHARACTERISTIC = kfc2.CHARACTERISTIC</t>
  </si>
  <si>
    <t>SUM_1473</t>
  </si>
  <si>
    <t>SUM_1473_KTF, SUM_1473_KTS, SUM_1473_KTU</t>
  </si>
  <si>
    <t>SUM_1473_KTF kfc</t>
  </si>
  <si>
    <t>JOIN SUM_1473_KTS kfc2 ON kfc.BO_KEY = kfc2.BO_KEY AND kfc.CHARACTERISTIC = kfc2.CHARACTERISTIC JOIN SUM_1473_KTU kfc3 ON kfc.BO_KEY = kfc3.BO_KEY AND kfc.CHARACTERISTIC = kfc3.CHARACTERISTIC</t>
  </si>
  <si>
    <t>ANTEIL_1473</t>
  </si>
  <si>
    <t>SUM_1473, SUM_1465</t>
  </si>
  <si>
    <t>SUM_1473 kfc</t>
  </si>
  <si>
    <t>JOIN SUM_1465 kfc2 ON kfc.CHARACTERISTIC = kfc2.CHARACTERISTIC</t>
  </si>
  <si>
    <t>VGL_ANTEIL_1473</t>
  </si>
  <si>
    <t>ANTEIL_1473, PDP_ANTEIL_1473</t>
  </si>
  <si>
    <t>ANTEIL_1473 kfc</t>
  </si>
  <si>
    <t>JOIN PDP_ANTEIL_1473 kfc2 ON kfc.BO_KEY = kfc2.BO_KEY AND kfc.CHARACTERISTIC = kfc2.CHARACTERISTIC</t>
  </si>
  <si>
    <t>SUM_1479_ABZUG</t>
  </si>
  <si>
    <t>SUM_1479_VOR_ABZUG</t>
  </si>
  <si>
    <t>SUM_1479</t>
  </si>
  <si>
    <t>SUM_1479_VOR_ABZUG, SUM_1479_ABZUG</t>
  </si>
  <si>
    <t>SUM_1479_VOR_ABZUG kfc</t>
  </si>
  <si>
    <t>JOIN SUM_1479_ABZUG kfc2 ON kfc.BO_KEY = kfc2.BO_KEY AND kfc.CHARACTERISTIC = kfc2.CHARACTERISTIC</t>
  </si>
  <si>
    <t>ANTEIL_1479</t>
  </si>
  <si>
    <t>SUM_1479, SUM_1471</t>
  </si>
  <si>
    <t>SUM_1479 kfc</t>
  </si>
  <si>
    <t>JOIN SUM_1471 kfc2 ON kfc.CHARACTERISTIC = kfc2.CHARACTERISTIC</t>
  </si>
  <si>
    <t>VGL_ANTEIL_1479</t>
  </si>
  <si>
    <t>ANTEIL_1479, PDP_ANTEIL_1479</t>
  </si>
  <si>
    <t>ANTEIL_1479 kfc</t>
  </si>
  <si>
    <t>JOIN PDP_ANTEIL_1479 kfc2 ON kfc.BO_KEY = kfc2.BO_KEY AND kfc.CHARACTERISTIC = kfc2.CHARACTERISTIC</t>
  </si>
  <si>
    <t>SUM_1480_KTF_ABZUG</t>
  </si>
  <si>
    <t>NVL(pdp.UV_KTR_60,0)+NVL(pdp.UV_KTR_61,0)+NVL(pdp.UV_KTR_62,0)+NVL(pdp.UV_KTR_65,0)+NVL(pdp.UV_KTR_66,0)+NVL(pdp.UV_KTR_68,0)+NVL(pdp.UV_KTR_69,0)+NVL(pdp.UV_KTR_697,0)</t>
  </si>
  <si>
    <t>SUM_1480_KTF_VOR_ABZUG</t>
  </si>
  <si>
    <t>SUM_1480_KTS</t>
  </si>
  <si>
    <t>NVL(kts.UV_KTR_60,0)+NVL(kts.UV_KTR_61,0)+NVL(kts.UV_KTR_62,0)+NVL(kts.UV_KTR_65,0)+NVL(kts.UV_KTR_66,0)+NVL(kts.UV_KTR_68,0)+NVL(kts.UV_KTR_69,0)+NVL(kts.UV_KTR_697,0)</t>
  </si>
  <si>
    <t>SUM_1480_KTU</t>
  </si>
  <si>
    <t>NVL(ktu.UV_KTR_60,0)+NVL(ktu.UV_KTR_61,0)+NVL(ktu.UV_KTR_62,0)+NVL(ktu.UV_KTR_65,0)+NVL(ktu.UV_KTR_66,0)+NVL(ktu.UV_KTR_68,0)+NVL(ktu.UV_KTR_69,0)+NVL(ktu.UV_KTR_697,0)</t>
  </si>
  <si>
    <t>SUM_1480_STUECKRECHNUNG_KTF</t>
  </si>
  <si>
    <t>ERLOESKONTEN</t>
  </si>
  <si>
    <t>adm.UV_ABC_FALL='A'</t>
  </si>
  <si>
    <t>SUM_1480_STUECKRECHNUNG_KTS</t>
  </si>
  <si>
    <t>kts.UV_KTR_TYP &lt;&gt; 1</t>
  </si>
  <si>
    <t>SUM_1480_STUECKRECHNUNG_KTU</t>
  </si>
  <si>
    <t>ktu.UV_KTR_TYP &lt;&gt; 1</t>
  </si>
  <si>
    <t>SUM_1480_KTF</t>
  </si>
  <si>
    <t>SUM_1480_KTF_VOR_ABZUG, SUM_1480_KTF_ABZUG</t>
  </si>
  <si>
    <t>SUM_1480_KTF_VOR_ABZUG kfc</t>
  </si>
  <si>
    <t>LEFT JOIN SUM_1480_KTF_ABZUG kfc2 ON kfc.BO_KEY = kfc2.BO_KEY AND kfc.CHARACTERISTIC = kfc2.CHARACTERISTIC</t>
  </si>
  <si>
    <t>SUM_1480_STUECKRECHNUNG</t>
  </si>
  <si>
    <t>SUM_1480_STUECKRECHNUNG_KTF, SUM_1480_STUECKRECHNUNG_KTS, SUM_1480_STUECKRECHNUNG_KTU</t>
  </si>
  <si>
    <t>SUM_1480_STUECKRECHNUNG_KTF kfc</t>
  </si>
  <si>
    <t>JOIN SUM_1480_STUECKRECHNUNG_KTS kfc2 ON kfc.BO_KEY = kfc2.BO_KEY AND kfc.CHARACTERISTIC = kfc2.CHARACTERISTIC JOIN SUM_1480_STUECKRECHNUNG_KTU kfc3 ON kfc.BO_KEY = kfc3.BO_KEY AND kfc.CHARACTERISTIC = kfc3.CHARACTERISTIC</t>
  </si>
  <si>
    <t>SUM_1480</t>
  </si>
  <si>
    <t>SUM_1480_KTF, SUM_1480_KTS, SUM_1480_KTU</t>
  </si>
  <si>
    <t>SUM_1480_KTF kfc</t>
  </si>
  <si>
    <t>JOIN SUM_1480_KTS kfc2 ON kfc.BO_KEY = kfc2.BO_KEY AND kfc.CHARACTERISTIC = kfc2.CHARACTERISTIC JOIN SUM_1480_KTS kfc3 ON kfc.BO_KEY = kfc3.BO_KEY AND kfc.CHARACTERISTIC = kfc3.CHARACTERISTIC</t>
  </si>
  <si>
    <t>DECKUNGSGRAD_1480</t>
  </si>
  <si>
    <t>SUM_1480, SUM_1465</t>
  </si>
  <si>
    <t>SUM_1480 kfc</t>
  </si>
  <si>
    <t>VGL_DECKUNGSGRAD_1480</t>
  </si>
  <si>
    <t>DECKUNGSGRAD_1480, PDP_DECKUNGSGRAD_1480</t>
  </si>
  <si>
    <t>DECKUNGSGRAD_1480 kfc</t>
  </si>
  <si>
    <t>JOIN PDP_DECKUNGSGRAD_1480 kfc2 ON kfc.BO_KEY = kfc2.BO_KEY AND kfc.CHARACTERISTIC = kfc2.CHARACTERISTIC</t>
  </si>
  <si>
    <t>SUM_1486_ABZUG</t>
  </si>
  <si>
    <t>SUM_1486_VOR_ABZUG</t>
  </si>
  <si>
    <t>SUM_1486</t>
  </si>
  <si>
    <t>SUM_1486_VOR_ABZUG, SUM_1486_ABZUG</t>
  </si>
  <si>
    <t>SUM_1486_VOR_ABZUG kfc</t>
  </si>
  <si>
    <t>JOIN SUM_1486_ABZUG kfc2 ON kfc.BO_KEY = kfc2.BO_KEY AND kfc.CHARACTERISTIC = kfc2.CHARACTERISTIC</t>
  </si>
  <si>
    <t>DECKUNGSGRAD_1486</t>
  </si>
  <si>
    <t>SUM_1486, SUM_1471</t>
  </si>
  <si>
    <t>SUM_1486 kfc</t>
  </si>
  <si>
    <t>JOIN SUM_1471 kfc2 ON kfc.BO_KEY = kfc2.BO_KEY AND kfc.CHARACTERISTIC = kfc2.CHARACTERISTIC</t>
  </si>
  <si>
    <t>VGL_DECKUNGSGRAD_1486</t>
  </si>
  <si>
    <t>DECKUNGSGRAD_1486, PDP_DECKUNGSGRAD_1486</t>
  </si>
  <si>
    <t>DECKUNGSGRAD_1486 kfc</t>
  </si>
  <si>
    <t>JOIN PDP_DECKUNGSGRAD_1486 kfc2 ON kfc.BO_KEY = kfc2.BO_KEY AND kfc.CHARACTERISTIC = kfc2.CHARACTERISTIC</t>
  </si>
  <si>
    <t>SUM_ERLOES_1487_ABZUG</t>
  </si>
  <si>
    <t>LIEGEKLASSE_1_TARIF_1</t>
  </si>
  <si>
    <t>adm.UV_LIEGEKLASSE=1 AND adm.UV_TARIF=1</t>
  </si>
  <si>
    <t>LIEGEKLASSE_2_3_TARIF_1</t>
  </si>
  <si>
    <t>adm.UV_LIEGEKLASSE IN (2,3) AND adm.UV_TARIF=1</t>
  </si>
  <si>
    <t>LIEGEKLASSE_1_TARIF_5</t>
  </si>
  <si>
    <t>adm.UV_LIEGEKLASSE=1 AND adm.UV_TARIF=5</t>
  </si>
  <si>
    <t>LIEGEKLASSE_2_3_TARIF_5</t>
  </si>
  <si>
    <t>adm.UV_LIEGEKLASSE IN (2,3) AND adm.UV_TARIF=5</t>
  </si>
  <si>
    <t>LIEGEKLASSE_1_TARIF_3</t>
  </si>
  <si>
    <t>adm.UV_LIEGEKLASSE=1 AND adm.UV_TARIF=3</t>
  </si>
  <si>
    <t>LIEGEKLASSE_2_3_TARIF_3</t>
  </si>
  <si>
    <t>adm.UV_LIEGEKLASSE IN (2,3) AND adm.UV_TARIF=3</t>
  </si>
  <si>
    <t>SUM_ERLOES_1487_VOR_ABZUG</t>
  </si>
  <si>
    <t>SUM_KOSTEN_1487_ABZUG</t>
  </si>
  <si>
    <t>SUM_KOSTEN_1487_VOR_ABZUG</t>
  </si>
  <si>
    <t>SUM_ERLOES_1487</t>
  </si>
  <si>
    <t>SUM_ERLOES_1487_VOR_ABZUG, SUM_ERLOES_1487_ABZUG</t>
  </si>
  <si>
    <t>SUM_ERLOES_1487_VOR_ABZUG kfc</t>
  </si>
  <si>
    <t>JOIN SUM_ERLOES_1487_ABZUG kfc2 ON kfc.BO_KEY = kfc2.BO_KEY AND kfc.CHARACTERISTIC = kfc2.CHARACTERISTIC</t>
  </si>
  <si>
    <t>SUM_KOSTEN_1487</t>
  </si>
  <si>
    <t>SUM_KOSTEN_1487_VOR_ABZUG, SUM_KOSTEN_1487_ABZUG</t>
  </si>
  <si>
    <t>SUM_KOSTEN_1487_VOR_ABZUG kfc</t>
  </si>
  <si>
    <t>DECKUNGSGRAD_1487</t>
  </si>
  <si>
    <t>SUM_ERLOES_1487, SUM_KOSTEN_1487</t>
  </si>
  <si>
    <t>SUM_ERLOES_1487 kfc</t>
  </si>
  <si>
    <t>JOIN SUM_KOSTEN_1487 kfc2 ON kfc.BO_KEY = kfc2.BO_KEY AND kfc.CHARACTERISTIC = kfc2.CHARACTERISTIC</t>
  </si>
  <si>
    <t>VGL_DECKUNGSGRAD_1487</t>
  </si>
  <si>
    <t>DECKUNGSGRAD_1487, PDP_DECKUNGSGRAD_1487</t>
  </si>
  <si>
    <t>DECKUNGSGRAD_1487 kfc</t>
  </si>
  <si>
    <t>JOIN PDP_DECKUNGSGRAD_1487 kfc2 ON kfc.BO_KEY = kfc2.BO_KEY AND kfc.CHARACTERISTIC = kfc2.CHARACTERISTIC</t>
  </si>
  <si>
    <t>SUM_1488_KTF_ABZUG</t>
  </si>
  <si>
    <t>NVL(pdp.UV_KTR_44_VKL,0)</t>
  </si>
  <si>
    <t>SUM_1488_KTF_VOR_ABZUG</t>
  </si>
  <si>
    <t>SUM_1488_KTS</t>
  </si>
  <si>
    <t>SUM_1488_KTU</t>
  </si>
  <si>
    <t>SUM_1488_KTF</t>
  </si>
  <si>
    <t>SUM_1488_KTF_VOR_ABZUG, SUM_1488_KTF_ABZUG</t>
  </si>
  <si>
    <t>SUM_1488_KTF_VOR_ABZUG kfc</t>
  </si>
  <si>
    <t>LEFT JOIN SUM_1488_KTF_ABZUG kfc2 ON kfc.BO_KEY = kfc2.BO_KEY AND kfc.CHARACTERISTIC = kfc2.CHARACTERISTIC</t>
  </si>
  <si>
    <t>SUM_1488</t>
  </si>
  <si>
    <t>SUM_1488_KTF, SUM_1488_KTS, SUM_1488_KTU</t>
  </si>
  <si>
    <t>SUM_1488_KTF kfc</t>
  </si>
  <si>
    <t>JOIN SUM_1488_KTS kfc2 ON kfc.BO_KEY = kfc2.BO_KEY AND kfc.CHARACTERISTIC = kfc2.CHARACTERISTIC JOIN SUM_1488_KTU kfc3 ON kfc.BO_KEY = kfc3.BO_KEY AND kfc.CHARACTERISTIC = kfc3.CHARACTERISTIC</t>
  </si>
  <si>
    <t>ANTEIL_1488</t>
  </si>
  <si>
    <t>SUM_1488, SUM_1465</t>
  </si>
  <si>
    <t>SUM_1488 kfc</t>
  </si>
  <si>
    <t>VGL_ANTEIL_1488</t>
  </si>
  <si>
    <t>ANTEIL_1488, PDP_ANTEIL_1488</t>
  </si>
  <si>
    <t>ANTEIL_1488 kfc</t>
  </si>
  <si>
    <t>JOIN PDP_ANTEIL_1488 kfc2 ON kfc.BO_KEY = kfc2.BO_KEY AND kfc.CHARACTERISTIC = kfc2.CHARACTERISTIC</t>
  </si>
  <si>
    <t>SUM_1493_ABZUG</t>
  </si>
  <si>
    <t>SUM_1493_VOR_ABZUG</t>
  </si>
  <si>
    <t>SUM_1493</t>
  </si>
  <si>
    <t>SUM_1493_VOR_ABZUG, SUM_1493_ABZUG</t>
  </si>
  <si>
    <t>SUM_1493_VOR_ABZUG kfc</t>
  </si>
  <si>
    <t>JOIN SUM_1493_ABZUG kfc2 ON kfc.BO_KEY = kfc2.BO_KEY AND kfc.CHARACTERISTIC = kfc2.CHARACTERISTIC</t>
  </si>
  <si>
    <t>ANTEIL_1493</t>
  </si>
  <si>
    <t>SUM_1493, SUM_1471</t>
  </si>
  <si>
    <t>SUM_1493 kfc</t>
  </si>
  <si>
    <t>VGL_ANTEIL_1493</t>
  </si>
  <si>
    <t>ANTEIL_1493, PDP_ANTEIL_1493</t>
  </si>
  <si>
    <t>ANTEIL_1493 kfc</t>
  </si>
  <si>
    <t>JOIN PDP_ANTEIL_1493 kfc2 ON kfc.BO_KEY = kfc2.BO_KEY AND kfc.CHARACTERISTIC = kfc2.CHARACTERISTIC</t>
  </si>
  <si>
    <t>SUM_1495_KTF_ABZUG</t>
  </si>
  <si>
    <t>NVL(pdp.UV_KTR_3801,0)+NVL(pdp.UV_KTR_3802,0)+NVL(pdp.UV_KTR_3811,0)+NVL(pdp.UV_KTR_3812,0)+NVL(pdp.UV_KTR_4051,0)+NVL(pdp.UV_KTR_4052,0)</t>
  </si>
  <si>
    <t>SUM_1495_KTF_VOR_ABZUG</t>
  </si>
  <si>
    <t>NVL(ktf.UV_KTR_3801,0)+NVL(ktf.UV_KTR_3802,0)+NVL(ktf.UV_KTR_3811,0)+NVL(ktf.UV_KTR_3812,0)+NVL(ktf.UV_KTR_4051,0)+NVL(ktf.UV_KTR_4052,0)</t>
  </si>
  <si>
    <t>SUM_1495_KTS</t>
  </si>
  <si>
    <t>NVL(kts.UV_KTR_3801,0)+NVL(kts.UV_KTR_3802,0)+NVL(kts.UV_KTR_3811,0)+NVL(kts.UV_KTR_3812,0)+NVL(kts.UV_KTR_4051,0)+NVL(kts.UV_KTR_4052,0)</t>
  </si>
  <si>
    <t>SUM_1495_KTU</t>
  </si>
  <si>
    <t>NVL(ktu.UV_KTR_3801,0)+NVL(ktu.UV_KTR_3802,0)+NVL(ktu.UV_KTR_3811,0)+NVL(ktu.UV_KTR_3812,0)+NVL(ktu.UV_KTR_4051,0)+NVL(ktu.UV_KTR_4052,0)</t>
  </si>
  <si>
    <t>SUM_1495_KTF</t>
  </si>
  <si>
    <t>SUM_1495_KTF_VOR_ABZUG, SUM_1495_KTF_ABZUG</t>
  </si>
  <si>
    <t>SUM_1495_KTF_VOR_ABZUG kfc</t>
  </si>
  <si>
    <t>LEFT JOIN SUM_1495_KTF_ABZUG kfc2 ON kfc.BO_KEY = kfc2.BO_KEY AND kfc.CHARACTERISTIC = kfc2.CHARACTERISTIC</t>
  </si>
  <si>
    <t>SUM_1495</t>
  </si>
  <si>
    <t>SUM_1495_KTF, SUM_1495_KTS, SUM_1495_KTU</t>
  </si>
  <si>
    <t>SUM_1495_KTF kfc</t>
  </si>
  <si>
    <t>NVL(kfc.BO_KEY, kfc2.BO_KEY)</t>
  </si>
  <si>
    <t>JOIN SUM_1495_KTS kfc2 ON kfc.BO_KEY = kfc2.BO_KEY AND kfc.CHARACTERISTIC = kfc2.CHARACTERISTIC JOIN SUM_1495_KTU kfc3 ON kfc.BO_KEY = kfc3.BO_KEY AND kfc.CHARACTERISTIC = kfc3.CHARACTERISTIC</t>
  </si>
  <si>
    <t>ANTEIL_1495</t>
  </si>
  <si>
    <t>SUM_1495, SUM_1465</t>
  </si>
  <si>
    <t>SUM_1495 kfc</t>
  </si>
  <si>
    <t>VGL_ANTEIL_1495</t>
  </si>
  <si>
    <t>ANTEIL_1495, PDP_ANTEIL_1495</t>
  </si>
  <si>
    <t>ANTEIL_1495 kfc</t>
  </si>
  <si>
    <t>JOIN PDP_ANTEIL_1495 kfc2 ON kfc.BO_KEY = kfc2.BO_KEY AND kfc.CHARACTERISTIC = kfc2.CHARACTERISTIC</t>
  </si>
  <si>
    <t>SUM_1504_KTF</t>
  </si>
  <si>
    <t>NVL(ktf.UV_KTR_65,0)</t>
  </si>
  <si>
    <t>KTR_65</t>
  </si>
  <si>
    <t>SUM_1504_KTS</t>
  </si>
  <si>
    <t>NVL(kts.UV_KTR_65,0)</t>
  </si>
  <si>
    <t>SUM_1504_KTU</t>
  </si>
  <si>
    <t>NVL(ktu.UV_KTR_65,0)</t>
  </si>
  <si>
    <t>SUM_1504</t>
  </si>
  <si>
    <t>SUM_1504_KTF, SUM_1504_KTS, SUM_1504_KTU</t>
  </si>
  <si>
    <t>SUM_1504_KTF kfc</t>
  </si>
  <si>
    <t>JOIN SUM_1504_KTS kfc2 ON kfc.BO_KEY = kfc2.BO_KEY AND kfc.CHARACTERISTIC = kfc2.CHARACTERISTIC JOIN SUM_1504_KTU kfc3 ON kfc.BO_KEY = kfc3.BO_KEY AND kfc.CHARACTERISTIC = kfc3.CHARACTERISTIC</t>
  </si>
  <si>
    <t>ANTEIL_1504</t>
  </si>
  <si>
    <t>SUM_1504, SUM_1480_STUECKRECHNUNG</t>
  </si>
  <si>
    <t>SUM_1504 kfc</t>
  </si>
  <si>
    <t>JOIN SUM_1480_STUECKRECHNUNG kfc2 ON kfc.BO_KEY = kfc2.BO_KEY AND kfc.CHARACTERISTIC = 'KTR_65' AND kfc2.CHARACTERISTIC = 'ERLOESKONTEN'</t>
  </si>
  <si>
    <t>VGL_ANTEIL_1504</t>
  </si>
  <si>
    <t>ANTEIL_1504, PDP_ANTEIL_1504</t>
  </si>
  <si>
    <t>ANTEIL_1504 kfc</t>
  </si>
  <si>
    <t>JOIN PDP_ANTEIL_1504 kfc2 ON kfc.BO_KEY = kfc2.BO_KEY AND kfc.CHARACTERISTIC = kfc2.CHARACTERISTIC</t>
  </si>
  <si>
    <t>SUM_1505_KTF</t>
  </si>
  <si>
    <t>NVL(ktf.UV_KTR_66,0)</t>
  </si>
  <si>
    <t>KTR_66</t>
  </si>
  <si>
    <t>SUM_1505_KTS</t>
  </si>
  <si>
    <t>NVL(kts.UV_KTR_66,0)</t>
  </si>
  <si>
    <t>SUM_1505_KTU</t>
  </si>
  <si>
    <t>NVL(ktu.UV_KTR_66,0)</t>
  </si>
  <si>
    <t>SUM_1505</t>
  </si>
  <si>
    <t>SUM_1505_KTF, SUM_1505_KTS, SUM_1505_KTU</t>
  </si>
  <si>
    <t>SUM_1505_KTF kfc</t>
  </si>
  <si>
    <t>JOIN SUM_1505_KTS kfc2 ON kfc.BO_KEY = kfc2.BO_KEY AND kfc.CHARACTERISTIC = kfc2.CHARACTERISTIC JOIN SUM_1505_KTU kfc3 ON kfc.BO_KEY = kfc3.BO_KEY AND kfc.CHARACTERISTIC = kfc3.CHARACTERISTIC</t>
  </si>
  <si>
    <t>ANTEIL_1505</t>
  </si>
  <si>
    <t>SUM_1505, SUM_1480_STUECKRECHNUNG</t>
  </si>
  <si>
    <t>SUM_1505 kfc</t>
  </si>
  <si>
    <t>JOIN SUM_1480_STUECKRECHNUNG kfc2 ON kfc.BO_KEY = kfc2.BO_KEY AND kfc.CHARACTERISTIC = 'KTR_66' AND kfc2.CHARACTERISTIC = 'ERLOESKONTEN'</t>
  </si>
  <si>
    <t>VGL_ANTEIL_1505</t>
  </si>
  <si>
    <t>ANTEIL_1505, PDP_ANTEIL_1505</t>
  </si>
  <si>
    <t>ANTEIL_1505 kfc</t>
  </si>
  <si>
    <t>JOIN PDP_ANTEIL_1505 kfc2 ON kfc.BO_KEY = kfc2.BO_KEY AND kfc.CHARACTERISTIC = kfc2.CHARACTERISTIC</t>
  </si>
  <si>
    <t>SUM_1506_KTF</t>
  </si>
  <si>
    <t>NVL(ktf.UV_KTR_68,0)</t>
  </si>
  <si>
    <t>KTR_68</t>
  </si>
  <si>
    <t>SUM_1506_KTS</t>
  </si>
  <si>
    <t>NVL(kts.UV_KTR_68,0)</t>
  </si>
  <si>
    <t>SUM_1506_KTU</t>
  </si>
  <si>
    <t>NVL(ktu.UV_KTR_68,0)</t>
  </si>
  <si>
    <t>SUM_1506</t>
  </si>
  <si>
    <t>SUM_1506_KTF, SUM_1506_KTS, SUM_1506_KTU</t>
  </si>
  <si>
    <t>SUM_1506_KTF kfc</t>
  </si>
  <si>
    <t>JOIN SUM_1506_KTS kfc2 ON kfc.BO_KEY = kfc2.BO_KEY AND kfc.CHARACTERISTIC = kfc2.CHARACTERISTIC JOIN SUM_1506_KTU kfc3 ON kfc.BO_KEY = kfc3.BO_KEY AND kfc.CHARACTERISTIC = kfc3.CHARACTERISTIC</t>
  </si>
  <si>
    <t>ANTEIL_1506</t>
  </si>
  <si>
    <t>SUM_1506, SUM_1480_STUECKRECHNUNG</t>
  </si>
  <si>
    <t>SUM_1506 kfc</t>
  </si>
  <si>
    <t>JOIN SUM_1480_STUECKRECHNUNG kfc2 ON kfc.BO_KEY = kfc2.BO_KEY AND kfc.CHARACTERISTIC = 'KTR_68' AND kfc2.CHARACTERISTIC = 'ERLOESKONTEN'</t>
  </si>
  <si>
    <t>VGL_ANTEIL_1506</t>
  </si>
  <si>
    <t>ANTEIL_1506, PDP_ANTEIL_1506</t>
  </si>
  <si>
    <t>ANTEIL_1506 kfc</t>
  </si>
  <si>
    <t>JOIN PDP_ANTEIL_1506 kfc2 ON kfc.BO_KEY = kfc2.BO_KEY AND kfc.CHARACTERISTIC = kfc2.CHARACTERISTIC</t>
  </si>
  <si>
    <t>SUM_1507_KTF_ABZUG</t>
  </si>
  <si>
    <t>NVL(pdp.UV_KTR_65,0)</t>
  </si>
  <si>
    <t>pdp.UV_KTR_TYP=1</t>
  </si>
  <si>
    <t>SUM_1507_KTF_VOR_ABZUG</t>
  </si>
  <si>
    <t>SUM_1507_KTF</t>
  </si>
  <si>
    <t>SUM_1507_KTF_VOR_ABZUG, SUM_1507_KTF_ABZUG</t>
  </si>
  <si>
    <t>SUM_1507_KTF_VOR_ABZUG kfc</t>
  </si>
  <si>
    <t>JOIN SUM_1507_KTF_ABZUG kfc2 ON kfc.BO_KEY = kfc2.BO_KEY AND kfc.CHARACTERISTIC = 'KTR_65' AND kfc2.CHARACTERISTIC = 'KTR_65'</t>
  </si>
  <si>
    <t>SUM_1507</t>
  </si>
  <si>
    <t>SUM_1507_KTF, SUM_1504_KTS</t>
  </si>
  <si>
    <t>NVL(kfc.VALUE,0)+NVL(kfc2.VALUE,0)</t>
  </si>
  <si>
    <t>SUM_1507_KTF kfc</t>
  </si>
  <si>
    <t>JOIN SUM_1504_KTS kfc2 ON kfc.BO_KEY = kfc2.BO_KEY AND kfc.CHARACTERISTIC = 'KTR_65' AND kfc2.CHARACTERISTIC = 'KTR_65'</t>
  </si>
  <si>
    <t>ANTEIL_1507</t>
  </si>
  <si>
    <t>SUM_1507, SUM_1480</t>
  </si>
  <si>
    <t>SUM_1507 kfc</t>
  </si>
  <si>
    <t>JOIN SUM_1480 kfc2 ON kfc.BO_KEY = kfc2.BO_KEY AND kfc.CHARACTERISTIC = 'KTR_65' AND kfc2.CHARACTERISTIC = 'TOTAL'</t>
  </si>
  <si>
    <t>VGL_ANTEIL_1507</t>
  </si>
  <si>
    <t>ANTEIL_1507, PDP_ANTEIL_1507</t>
  </si>
  <si>
    <t>ANTEIL_1507 kfc</t>
  </si>
  <si>
    <t>JOIN PDP_ANTEIL_1507 kfc2 ON kfc.BO_KEY = kfc2.BO_KEY AND kfc.CHARACTERISTIC = kfc2.CHARACTERISTIC</t>
  </si>
  <si>
    <t>SUM_1508_KTF_ABZUG</t>
  </si>
  <si>
    <t>NVL(pdp.UV_KTR_66,0)</t>
  </si>
  <si>
    <t>SUM_1508_KTF_VOR_ABZUG</t>
  </si>
  <si>
    <t>SUM_1508_KTF</t>
  </si>
  <si>
    <t>SUM_1508_KTF_VOR_ABZUG, SUM_1508_KTF_ABZUG</t>
  </si>
  <si>
    <t>SUM_1508_KTF_VOR_ABZUG kfc</t>
  </si>
  <si>
    <t>JOIN SUM_1508_KTF_ABZUG kfc2 ON kfc.BO_KEY = kfc2.BO_KEY AND kfc.CHARACTERISTIC = 'KTR_66' AND kfc2.CHARACTERISTIC = 'KTR_66'</t>
  </si>
  <si>
    <t>SUM_1508</t>
  </si>
  <si>
    <t>SUM_1508_KTF, SUM_1505_KTS</t>
  </si>
  <si>
    <t>SUM_1508_KTF kfc</t>
  </si>
  <si>
    <t>JOIN SUM_1505_KTS kfc2 ON kfc.BO_KEY = kfc2.BO_KEY AND kfc.CHARACTERISTIC = 'KTR_66' AND kfc2.CHARACTERISTIC = 'KTR_66'</t>
  </si>
  <si>
    <t>ANTEIL_1508</t>
  </si>
  <si>
    <t>SUM_1508, SUM_1480</t>
  </si>
  <si>
    <t>SUM_1508 kfc</t>
  </si>
  <si>
    <t>JOIN SUM_1480 kfc2 ON kfc.BO_KEY = kfc2.BO_KEY AND kfc.CHARACTERISTIC = 'KTR_66' AND kfc2.CHARACTERISTIC = 'TOTAL'</t>
  </si>
  <si>
    <t>VGL_ANTEIL_1508</t>
  </si>
  <si>
    <t>ANTEIL_1508, PDP_ANTEIL_1508</t>
  </si>
  <si>
    <t>ANTEIL_1508 kfc</t>
  </si>
  <si>
    <t>JOIN PDP_ANTEIL_1508 kfc2 ON kfc.BO_KEY = kfc2.BO_KEY AND kfc.CHARACTERISTIC = kfc2.CHARACTERISTIC</t>
  </si>
  <si>
    <t>SUM_1509_KTF_ABZUG</t>
  </si>
  <si>
    <t>NVL(pdp.UV_KTR_68,0)</t>
  </si>
  <si>
    <t>SUM_1509_KTF_VOR_ABZUG</t>
  </si>
  <si>
    <t>SUM_1509_KTF</t>
  </si>
  <si>
    <t>SUM_1509_KTF_VOR_ABZUG, SUM_1509_KTF_ABZUG</t>
  </si>
  <si>
    <t>SUM_1509_KTF_VOR_ABZUG kfc</t>
  </si>
  <si>
    <t>JOIN SUM_1509_KTF_ABZUG kfc2 ON kfc.BO_KEY = kfc2.BO_KEY AND kfc.CHARACTERISTIC = 'KTR_68' AND kfc2.CHARACTERISTIC = 'KTR_68'</t>
  </si>
  <si>
    <t>SUM_1509</t>
  </si>
  <si>
    <t>SUM_1509_KTF, SUM_1506_KTS</t>
  </si>
  <si>
    <t>SUM_1509_KTF kfc</t>
  </si>
  <si>
    <t>JOIN SUM_1506_KTS kfc2 ON kfc.BO_KEY = kfc2.BO_KEY AND kfc.CHARACTERISTIC = 'KTR_68' AND kfc2.CHARACTERISTIC = 'KTR_68'</t>
  </si>
  <si>
    <t>ANTEIL_1509</t>
  </si>
  <si>
    <t>SUM_1509, SUM_1480</t>
  </si>
  <si>
    <t>SUM_1509 kfc</t>
  </si>
  <si>
    <t>JOIN SUM_1480 kfc2 ON kfc.BO_KEY = kfc2.BO_KEY AND kfc.CHARACTERISTIC = 'KTR_68' AND kfc2.CHARACTERISTIC = 'TOTAL'</t>
  </si>
  <si>
    <t>VGL_ANTEIL_1509</t>
  </si>
  <si>
    <t>ANTEIL_1509, PDP_ANTEIL_1509</t>
  </si>
  <si>
    <t>ANTEIL_1509 kfc</t>
  </si>
  <si>
    <t>JOIN PDP_ANTEIL_1509 kfc2 ON kfc.BO_KEY = kfc2.BO_KEY AND kfc.CHARACTERISTIC = kfc2.CHARACTERISTIC</t>
  </si>
  <si>
    <t>SUM_1516</t>
  </si>
  <si>
    <t>ANTEIL_1516</t>
  </si>
  <si>
    <t>SUM_1516, SUM_1516</t>
  </si>
  <si>
    <t>SUM_1516 kfc</t>
  </si>
  <si>
    <t>JOIN SUM_1516 kfc_total ON kfc_total.CHARACTERISTIC = 'TOTAL' AND kfc.CHARACTERISTIC &lt;&gt; 'TOTAL'</t>
  </si>
  <si>
    <t>VGL_ABS_1516</t>
  </si>
  <si>
    <t>SUM_1516, PDP_SUM_1516</t>
  </si>
  <si>
    <t>JOIN PDP_SUM_1516 kfc2 ON kfc.BO_KEY = kfc2.BO_KEY AND kfc.CHARACTERISTIC = kfc2.CHARACTERISTIC</t>
  </si>
  <si>
    <t>VGL_REL_1516</t>
  </si>
  <si>
    <t>SUM_1517</t>
  </si>
  <si>
    <t>ANTEIL_1517</t>
  </si>
  <si>
    <t>SUM_1517, SUM_1517</t>
  </si>
  <si>
    <t>SUM_1517 kfc</t>
  </si>
  <si>
    <t>JOIN SUM_1517 kfc_total ON kfc_total.CHARACTERISTIC = 'TOTAL' AND kfc.CHARACTERISTIC &lt;&gt; 'TOTAL'</t>
  </si>
  <si>
    <t>VGL_ABS_1517</t>
  </si>
  <si>
    <t>SUM_1517, PDP_SUM_1517</t>
  </si>
  <si>
    <t>JOIN PDP_SUM_1517 kfc2 ON kfc.BO_KEY = kfc2.BO_KEY AND kfc.CHARACTERISTIC = kfc2.CHARACTERISTIC</t>
  </si>
  <si>
    <t>VGL_REL_1517</t>
  </si>
  <si>
    <t>ANZ_1519</t>
  </si>
  <si>
    <t>adm.UV_TARIF=0</t>
  </si>
  <si>
    <t>ANTEIL_1519</t>
  </si>
  <si>
    <t>ANZ_1519, ANZ_1519</t>
  </si>
  <si>
    <t>ANZ_1519 kfc</t>
  </si>
  <si>
    <t>JOIN ANZ_1519 kfc_total ON kfc_total.CHARACTERISTIC = 'TOTAL' AND kfc.CHARACTERISTIC &lt;&gt; 'TOTAL'</t>
  </si>
  <si>
    <t>ANZ_1520</t>
  </si>
  <si>
    <t>ANTEIL_1520</t>
  </si>
  <si>
    <t>ANZ_1520, ANZ_1520</t>
  </si>
  <si>
    <t>ANZ_1520 kfc</t>
  </si>
  <si>
    <t>JOIN ANZ_1520 kfc_total ON kfc_total.CHARACTERISTIC = 'TOTAL' AND kfc.CHARACTERISTIC &lt;&gt; 'TOTAL'</t>
  </si>
  <si>
    <t>ANZ_1521</t>
  </si>
  <si>
    <t>ANTEIL_1521</t>
  </si>
  <si>
    <t>ANZ_1521, ANZ_1521</t>
  </si>
  <si>
    <t>ANZ_1521 kfc</t>
  </si>
  <si>
    <t>JOIN ANZ_1521 kfc_total ON kfc_total.CHARACTERISTIC = 'TOTAL' AND kfc.CHARACTERISTIC &lt;&gt; 'TOTAL'</t>
  </si>
  <si>
    <t>ANZ_1522</t>
  </si>
  <si>
    <t>ANTEIL_1522</t>
  </si>
  <si>
    <t>ANZ_1522, ANZ_1522</t>
  </si>
  <si>
    <t>ANZ_1522 kfc</t>
  </si>
  <si>
    <t>JOIN ANZ_1522 kfc_total ON kfc_total.CHARACTERISTIC = 'TOTAL' AND kfc.CHARACTERISTIC &lt;&gt; 'TOTAL'</t>
  </si>
  <si>
    <t>ANZ_1523</t>
  </si>
  <si>
    <t>ANTEIL_1523</t>
  </si>
  <si>
    <t>ANZ_1523, ANZ_1523</t>
  </si>
  <si>
    <t>ANZ_1523 kfc</t>
  </si>
  <si>
    <t>JOIN ANZ_1523 kfc_total ON kfc_total.CHARACTERISTIC = 'TOTAL' AND kfc.CHARACTERISTIC &lt;&gt; 'TOTAL'</t>
  </si>
  <si>
    <t>ANZ_1524</t>
  </si>
  <si>
    <t>ANTEIL_1524</t>
  </si>
  <si>
    <t>ANZ_1524, ANZ_1524</t>
  </si>
  <si>
    <t>ANZ_1524 kfc</t>
  </si>
  <si>
    <t>JOIN ANZ_1524 kfc_total ON kfc_total.CHARACTERISTIC = 'TOTAL' AND kfc.CHARACTERISTIC &lt;&gt; 'TOTAL'</t>
  </si>
  <si>
    <t>ANZ_1525</t>
  </si>
  <si>
    <t>EINW_INSTANZ_8</t>
  </si>
  <si>
    <t>EINW_INSTANZ_9</t>
  </si>
  <si>
    <t>ANTEIL_1525</t>
  </si>
  <si>
    <t>ANZ_1525, ANZ_1525</t>
  </si>
  <si>
    <t>ANZ_1525 kfc</t>
  </si>
  <si>
    <t>JOIN ANZ_1525 kfc_total ON kfc_total.CHARACTERISTIC = 'TOTAL' AND kfc.CHARACTERISTIC &lt;&gt; 'TOTAL'</t>
  </si>
  <si>
    <t>ANZ_1526</t>
  </si>
  <si>
    <t>ANTEIL_1526</t>
  </si>
  <si>
    <t>ANZ_1526, ANZ_1526</t>
  </si>
  <si>
    <t>ANZ_1526 kfc</t>
  </si>
  <si>
    <t>JOIN ANZ_1526 kfc_total ON kfc_total.CHARACTERISTIC = 'TOTAL' AND kfc.CHARACTERISTIC &lt;&gt; 'TOTAL'</t>
  </si>
  <si>
    <t>ANZ_1527</t>
  </si>
  <si>
    <t>ANTEIL_1527</t>
  </si>
  <si>
    <t>ANZ_1527, ANZ_1527</t>
  </si>
  <si>
    <t>ANZ_1527 kfc</t>
  </si>
  <si>
    <t>JOIN ANZ_1527 kfc_total ON kfc_total.CHARACTERISTIC = 'TOTAL' AND kfc.CHARACTERISTIC &lt;&gt; 'TOTAL'</t>
  </si>
  <si>
    <t>ANZ_1528</t>
  </si>
  <si>
    <t>UNBEWERTET</t>
  </si>
  <si>
    <t>drg.CF = '05'</t>
  </si>
  <si>
    <t>ANTEIL_1528</t>
  </si>
  <si>
    <t>ANZ_1528, ANZ_1528</t>
  </si>
  <si>
    <t>ANZ_1528 kfc</t>
  </si>
  <si>
    <t>JOIN ANZ_1528 kfc_total ON kfc_total.CHARACTERISTIC = 'TOTAL' AND kfc.CHARACTERISTIC &lt;&gt; 'TOTAL'</t>
  </si>
  <si>
    <t>ANZ_1529</t>
  </si>
  <si>
    <t>NATIONALITAET_999</t>
  </si>
  <si>
    <t>adm.UV_NATIONALITAET='999'</t>
  </si>
  <si>
    <t>ANTEIL_1529</t>
  </si>
  <si>
    <t>ANZ_1529, ANZ_1529</t>
  </si>
  <si>
    <t>ANZ_1529 kfc</t>
  </si>
  <si>
    <t>JOIN ANZ_1529 kfc_total ON kfc_total.CHARACTERISTIC = 'TOTAL' AND kfc.CHARACTERISTIC &lt;&gt; 'TOTAL'</t>
  </si>
  <si>
    <t>ANZ_1530</t>
  </si>
  <si>
    <t>ADMINISTRATIVES, NEUGEBORENE</t>
  </si>
  <si>
    <t>neu.UV_VITALSTATUS</t>
  </si>
  <si>
    <t>VITALSTATUS_0</t>
  </si>
  <si>
    <t>neu.UV_VITALSTATUS=0</t>
  </si>
  <si>
    <t>JOIN NEUGEBORENE neu ON adm.UV_FALL_ID=neu.UV_FALL_ID AND adm.UV_BURNR=neu.UV_BURNR</t>
  </si>
  <si>
    <t>ANTEIL_1530</t>
  </si>
  <si>
    <t>ANZ_1530, ANZ_1530</t>
  </si>
  <si>
    <t>ANZ_1530 kfc</t>
  </si>
  <si>
    <t>JOIN ANZ_1530 kfc_total ON kfc_total.CHARACTERISTIC = 'TOTAL' AND kfc.CHARACTERISTIC &lt;&gt; 'TOTAL'</t>
  </si>
  <si>
    <t>SUM_1531_BEBU</t>
  </si>
  <si>
    <t>KSEXPENSEACCOUNTINGS</t>
  </si>
  <si>
    <t>NVL(ks.UV_BEBU_17_21_26,0)+NVL(ks.UV_BEBU_17_21_28,0)+NVL(ks.UV_BEBU_17_21_29,0)</t>
  </si>
  <si>
    <t>KSEXPENSEACCOUNTINGS ks</t>
  </si>
  <si>
    <t>SUM_1531_KTF</t>
  </si>
  <si>
    <t>SUM_1531_KTS</t>
  </si>
  <si>
    <t>SUM_1531_KTU</t>
  </si>
  <si>
    <t>SUM_1531</t>
  </si>
  <si>
    <t>SUM_1531_KTF, SUM_1531_KTS, SUM_1531_KTU</t>
  </si>
  <si>
    <t>SUM_1531_KTF kfc</t>
  </si>
  <si>
    <t>JOIN SUM_1531_KTS kfc2 ON kfc.BO_KEY = kfc2.BO_KEY AND kfc.CHARACTERISTIC = kfc2.CHARACTERISTIC JOIN SUM_1531_KTU kfc3 ON kfc.BO_KEY = kfc3.BO_KEY AND kfc.CHARACTERISTIC = kfc3.CHARACTERISTIC</t>
  </si>
  <si>
    <t>DIF_1531</t>
  </si>
  <si>
    <t>SUM_1531, SUM_1531_BEBU</t>
  </si>
  <si>
    <t>SUM_1531 kfc</t>
  </si>
  <si>
    <t>JOIN SUM_1531_BEBU kfc2 ON kfc.BO_KEY = kfc2.BO_KEY AND kfc.CHARACTERISTIC = kfc2.CHARACTERISTIC</t>
  </si>
  <si>
    <t>SUM_1532_BEBU</t>
  </si>
  <si>
    <t>KSADDITIONALACCOUNTINGS</t>
  </si>
  <si>
    <t>NVL(ks.UV_BEBU_17_24_25,0)+NVL(ks.UV_BEBU_17_24_27,0)+NVL(ks.UV_BEBU_17_24_28,0)</t>
  </si>
  <si>
    <t>KSADDITIONALACCOUNTINGS ks</t>
  </si>
  <si>
    <t>SUM_1532_KTF</t>
  </si>
  <si>
    <t>SUM_1532_KTS</t>
  </si>
  <si>
    <t>SUM_1532_KTU</t>
  </si>
  <si>
    <t>SUM_1532</t>
  </si>
  <si>
    <t>SUM_1532_KTF, SUM_1532_KTS, SUM_1532_KTU</t>
  </si>
  <si>
    <t>SUM_1532_KTF kfc</t>
  </si>
  <si>
    <t>JOIN SUM_1532_KTS kfc2 ON kfc.BO_KEY = kfc2.BO_KEY AND kfc.CHARACTERISTIC = kfc2.CHARACTERISTIC JOIN SUM_1532_KTU kfc3 ON kfc.BO_KEY = kfc3.BO_KEY AND kfc.CHARACTERISTIC = kfc3.CHARACTERISTIC</t>
  </si>
  <si>
    <t>DIF_1532</t>
  </si>
  <si>
    <t>SUM_1532, SUM_1532_BEBU</t>
  </si>
  <si>
    <t>SUM_1532 kfc</t>
  </si>
  <si>
    <t>JOIN SUM_1532_BEBU kfc2 ON kfc.BO_KEY = kfc2.BO_KEY AND kfc.CHARACTERISTIC = kfc2.CHARACTERISTIC</t>
  </si>
  <si>
    <t>SUM_1533_BEBU</t>
  </si>
  <si>
    <t>NVL(ks.UV_BEBU_17_21_45,0)</t>
  </si>
  <si>
    <t>KOSTEN</t>
  </si>
  <si>
    <t>SUM_1533_KTF</t>
  </si>
  <si>
    <t>SUM_1533_KTS</t>
  </si>
  <si>
    <t>SUM_1533_KTU</t>
  </si>
  <si>
    <t>SUM_1533</t>
  </si>
  <si>
    <t>SUM_1533_KTF, SUM_1533_KTS, SUM_1533_KTU</t>
  </si>
  <si>
    <t>SUM_1533_KTF kfc</t>
  </si>
  <si>
    <t>JOIN SUM_1533_KTS kfc2 ON kfc.BO_KEY = kfc2.BO_KEY AND kfc.CHARACTERISTIC = kfc2.CHARACTERISTIC JOIN SUM_1533_KTU kfc3 ON kfc.BO_KEY = kfc3.BO_KEY AND kfc.CHARACTERISTIC = kfc3.CHARACTERISTIC</t>
  </si>
  <si>
    <t>DIF_1533</t>
  </si>
  <si>
    <t>SUM_1533, SUM_1533_BEBU</t>
  </si>
  <si>
    <t>SUM_1533 kfc</t>
  </si>
  <si>
    <t>JOIN SUM_1533_BEBU kfc2 ON kfc.BO_KEY = kfc2.BO_KEY AND kfc.CHARACTERISTIC = kfc2.CHARACTERISTIC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</si>
</sst>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rgb="FF9C57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0" borderId="0" xfId="1" applyFont="1" applyFill="1" applyAlignment="1">
      <alignment horizontal="left" vertical="top"/>
    </xf>
  </cellXfs>
  <cellStyles count="2">
    <cellStyle name="Neutre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8C1E8-39B8-4FDF-ACC7-6B27696BB14E}">
  <dimension ref="A1:S716"/>
  <sheetViews>
    <sheetView tabSelected="1" zoomScaleNormal="100" workbookViewId="0">
      <pane ySplit="1" topLeftCell="A2" activePane="bottomLeft" state="frozen"/>
      <selection activeCell="Y1" sqref="Y1"/>
      <selection pane="bottomLeft"/>
    </sheetView>
  </sheetViews>
  <sheetFormatPr baseColWidth="10" defaultColWidth="16.25" defaultRowHeight="12" x14ac:dyDescent="0.2"/>
  <cols>
    <col min="1" max="1" width="6.5" style="4" bestFit="1" customWidth="1"/>
    <col min="2" max="2" width="5.25" style="3" bestFit="1" customWidth="1"/>
    <col min="3" max="3" width="31.875" style="3" customWidth="1"/>
    <col min="4" max="4" width="41.125" style="3" customWidth="1"/>
    <col min="5" max="5" width="19.625" style="3" bestFit="1" customWidth="1"/>
    <col min="6" max="6" width="51.625" style="3" customWidth="1"/>
    <col min="7" max="7" width="30.5" style="3" customWidth="1"/>
    <col min="8" max="8" width="14.375" style="3" customWidth="1"/>
    <col min="9" max="9" width="13" style="3" customWidth="1"/>
    <col min="10" max="10" width="24.375" style="3" customWidth="1"/>
    <col min="11" max="11" width="34.875" style="3" customWidth="1"/>
    <col min="12" max="12" width="16.25" style="3" customWidth="1"/>
    <col min="13" max="13" width="24.5" style="3" customWidth="1"/>
    <col min="14" max="14" width="25.625" style="3" bestFit="1" customWidth="1"/>
    <col min="15" max="15" width="108.25" style="3" customWidth="1"/>
    <col min="16" max="16" width="91.25" style="3" bestFit="1" customWidth="1"/>
    <col min="17" max="17" width="31" style="3" bestFit="1" customWidth="1"/>
    <col min="18" max="16384" width="16.25" style="3"/>
  </cols>
  <sheetData>
    <row r="1" spans="1:19" ht="27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s="4">
        <v>596</v>
      </c>
      <c r="B2" s="3">
        <v>1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23</v>
      </c>
      <c r="I2" s="3" t="s">
        <v>21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  <c r="P2" s="3" t="s">
        <v>30</v>
      </c>
      <c r="S2" s="3" t="str">
        <f t="shared" ref="S2:S65" si="0">IF(F2="","","WITH ZDATA AS
(SELECT "&amp;F2&amp;" AS Value, 
'123' AS BusinessObjectKey, 
"&amp;IF(I2="False","CASE WHEN "&amp;K2&amp;" THEN '"&amp;J2&amp;"' ELSE '"&amp;L2&amp;"' 
END AS Characteristic",G2)&amp;"
FROM "&amp;M2&amp;"
"&amp;O2&amp;"
"&amp;IF(P2="","", "WHERE "&amp;P2)&amp;"
"&amp;IF(Q2="","", "GROUP BY "&amp;Q2)&amp;"
"&amp;IF(R2="","", "HAVING "&amp;R2)&amp;"
) 
SELECT '"&amp;C2&amp;"' AS KeyFigureName,
'123456' AS ProcessingRunId, 
'12345' AS WaveId, 
Characteristic, BusinessObjectKey, 
"&amp;IF(H2="","Value",H2)&amp;" AS Value 
FROM ZDATA 
"&amp;IF(I2="False","GROUP BY Characteristic, BusinessObjectKey","")&amp;"
ORDER BY BusinessObjectKey;")</f>
        <v>WITH ZDATA AS
(SELECT DISTINCT per.UV_AHV AS Value, 
'123' AS BusinessObjectKey, 
CASE WHEN adm.UV_TARIF=1 THEN 'PATIENTEN' ELSE 'OTHER' 
END AS Characteristic
FROM ADMINISTRATIVES adm
JOIN PERSONENIDENTIFIKATOREN per ON adm.UV_FALL_ID=per.UV_FALL_ID AND adm.UV_BURNR=per.UV_BURNR
WHERE adm.UV_ABC_FALL= 'A' AND adm.UV_TARIF IN (1,2)
) 
SELECT 'ANZ_0596_AKUT' AS KeyFigureName,
'123456' AS ProcessingRunId, 
'12345' AS WaveId, 
Characteristic, BusinessObjectKey, 
COUNT(*) AS Value 
FROM ZDATA 
GROUP BY Characteristic, BusinessObjectKey
ORDER BY BusinessObjectKey;</v>
      </c>
    </row>
    <row r="3" spans="1:19" x14ac:dyDescent="0.2">
      <c r="A3" s="4">
        <v>596</v>
      </c>
      <c r="B3" s="3">
        <v>1</v>
      </c>
      <c r="C3" s="3" t="s">
        <v>31</v>
      </c>
      <c r="D3" s="3" t="s">
        <v>20</v>
      </c>
      <c r="E3" s="3" t="s">
        <v>21</v>
      </c>
      <c r="F3" s="3" t="s">
        <v>22</v>
      </c>
      <c r="H3" s="3" t="s">
        <v>23</v>
      </c>
      <c r="I3" s="3" t="s">
        <v>21</v>
      </c>
      <c r="J3" s="3" t="s">
        <v>24</v>
      </c>
      <c r="K3" s="3" t="s">
        <v>32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33</v>
      </c>
      <c r="S3" s="3" t="str">
        <f t="shared" si="0"/>
        <v>WITH ZDATA AS
(SELECT DISTINCT per.UV_AHV AS Value, 
'123' AS BusinessObjectKey, 
CASE WHEN adm.UV_TARIF=5 THEN 'PATIENTEN' ELSE 'OTHER' 
END AS Characteristic
FROM ADMINISTRATIVES adm
JOIN PERSONENIDENTIFIKATOREN per ON adm.UV_FALL_ID=per.UV_FALL_ID AND adm.UV_BURNR=per.UV_BURNR
WHERE adm.UV_ABC_FALL= 'A' AND adm.UV_TARIF IN (5,6)
) 
SELECT 'ANZ_0596_PSY' AS KeyFigureName,
'123456' AS ProcessingRunId, 
'12345' AS WaveId, 
Characteristic, BusinessObjectKey, 
COUNT(*) AS Value 
FROM ZDATA 
GROUP BY Characteristic, BusinessObjectKey
ORDER BY BusinessObjectKey;</v>
      </c>
    </row>
    <row r="4" spans="1:19" x14ac:dyDescent="0.2">
      <c r="A4" s="4">
        <v>596</v>
      </c>
      <c r="B4" s="3">
        <v>1</v>
      </c>
      <c r="C4" s="3" t="s">
        <v>34</v>
      </c>
      <c r="D4" s="3" t="s">
        <v>20</v>
      </c>
      <c r="E4" s="3" t="s">
        <v>21</v>
      </c>
      <c r="F4" s="3" t="s">
        <v>22</v>
      </c>
      <c r="H4" s="3" t="s">
        <v>23</v>
      </c>
      <c r="I4" s="3" t="s">
        <v>21</v>
      </c>
      <c r="J4" s="3" t="s">
        <v>24</v>
      </c>
      <c r="K4" s="3" t="s">
        <v>35</v>
      </c>
      <c r="L4" s="3" t="s">
        <v>26</v>
      </c>
      <c r="M4" s="3" t="s">
        <v>27</v>
      </c>
      <c r="N4" s="3" t="s">
        <v>28</v>
      </c>
      <c r="O4" s="3" t="s">
        <v>29</v>
      </c>
      <c r="P4" s="3" t="s">
        <v>36</v>
      </c>
      <c r="S4" s="3" t="str">
        <f t="shared" si="0"/>
        <v>WITH ZDATA AS
(SELECT DISTINCT per.UV_AHV AS Value, 
'123' AS BusinessObjectKey, 
CASE WHEN adm.UV_TARIF=3 THEN 'PATIENTEN' ELSE 'OTHER' 
END AS Characteristic
FROM ADMINISTRATIVES adm
JOIN PERSONENIDENTIFIKATOREN per ON adm.UV_FALL_ID=per.UV_FALL_ID AND adm.UV_BURNR=per.UV_BURNR
WHERE adm.UV_ABC_FALL= 'A' AND adm.UV_TARIF IN (3,4)
) 
SELECT 'ANZ_0596_REHA' AS KeyFigureName,
'123456' AS ProcessingRunId, 
'12345' AS WaveId, 
Characteristic, BusinessObjectKey, 
COUNT(*) AS Value 
FROM ZDATA 
GROUP BY Characteristic, BusinessObjectKey
ORDER BY BusinessObjectKey;</v>
      </c>
    </row>
    <row r="5" spans="1:19" x14ac:dyDescent="0.2">
      <c r="A5" s="4">
        <v>596</v>
      </c>
      <c r="B5" s="3">
        <v>2</v>
      </c>
      <c r="C5" s="3" t="s">
        <v>37</v>
      </c>
      <c r="D5" s="3" t="s">
        <v>38</v>
      </c>
      <c r="E5" s="3" t="s">
        <v>21</v>
      </c>
      <c r="F5" s="3" t="s">
        <v>39</v>
      </c>
      <c r="G5" s="3" t="s">
        <v>40</v>
      </c>
      <c r="I5" s="3" t="s">
        <v>41</v>
      </c>
      <c r="M5" s="3" t="s">
        <v>42</v>
      </c>
      <c r="N5" s="3" t="s">
        <v>43</v>
      </c>
      <c r="O5" s="3" t="s">
        <v>44</v>
      </c>
      <c r="S5" s="3" t="str">
        <f t="shared" si="0"/>
        <v>WITH ZDATA AS
(SELECT NVL(kfc.VALUE,0)-NVL(kfc2.VALUE,0) AS Value, 
'123' AS BusinessObjectKey, 
kfc.CHARACTERISTIC AS Characteristic
FROM ANZ_0596_AKUT kfc
JOIN PDP_ANZ_0596_AKUT kfc2 ON kfc.BO_KEY = kfc2.BO_KEY AND kfc.CHARACTERISTIC = kfc2.CHARACTERISTIC
) 
SELECT 'VGL_ABS_0596_AKUT' AS KeyFigureName,
'123456' AS ProcessingRunId, 
'12345' AS WaveId, 
Characteristic, BusinessObjectKey, 
Value AS Value 
FROM ZDATA 
ORDER BY BusinessObjectKey;</v>
      </c>
    </row>
    <row r="6" spans="1:19" x14ac:dyDescent="0.2">
      <c r="A6" s="4">
        <v>596</v>
      </c>
      <c r="B6" s="3">
        <v>2</v>
      </c>
      <c r="C6" s="3" t="s">
        <v>45</v>
      </c>
      <c r="D6" s="3" t="s">
        <v>46</v>
      </c>
      <c r="E6" s="3" t="s">
        <v>21</v>
      </c>
      <c r="F6" s="3" t="s">
        <v>39</v>
      </c>
      <c r="G6" s="3" t="s">
        <v>40</v>
      </c>
      <c r="I6" s="3" t="s">
        <v>41</v>
      </c>
      <c r="M6" s="3" t="s">
        <v>47</v>
      </c>
      <c r="N6" s="3" t="s">
        <v>43</v>
      </c>
      <c r="O6" s="3" t="s">
        <v>48</v>
      </c>
      <c r="S6" s="3" t="str">
        <f t="shared" si="0"/>
        <v>WITH ZDATA AS
(SELECT NVL(kfc.VALUE,0)-NVL(kfc2.VALUE,0) AS Value, 
'123' AS BusinessObjectKey, 
kfc.CHARACTERISTIC AS Characteristic
FROM ANZ_0596_PSY kfc
JOIN PDP_ANZ_0596_PSY kfc2 ON kfc.BO_KEY = kfc2.BO_KEY AND kfc.CHARACTERISTIC = kfc2.CHARACTERISTIC
) 
SELECT 'VGL_ABS_0596_PSY' AS KeyFigureName,
'123456' AS ProcessingRunId, 
'12345' AS WaveId, 
Characteristic, BusinessObjectKey, 
Value AS Value 
FROM ZDATA 
ORDER BY BusinessObjectKey;</v>
      </c>
    </row>
    <row r="7" spans="1:19" x14ac:dyDescent="0.2">
      <c r="A7" s="4">
        <v>596</v>
      </c>
      <c r="B7" s="3">
        <v>2</v>
      </c>
      <c r="C7" s="3" t="s">
        <v>49</v>
      </c>
      <c r="D7" s="3" t="s">
        <v>50</v>
      </c>
      <c r="E7" s="3" t="s">
        <v>21</v>
      </c>
      <c r="F7" s="3" t="s">
        <v>39</v>
      </c>
      <c r="G7" s="3" t="s">
        <v>40</v>
      </c>
      <c r="I7" s="3" t="s">
        <v>41</v>
      </c>
      <c r="M7" s="3" t="s">
        <v>51</v>
      </c>
      <c r="N7" s="3" t="s">
        <v>43</v>
      </c>
      <c r="O7" s="3" t="s">
        <v>52</v>
      </c>
      <c r="S7" s="3" t="str">
        <f t="shared" si="0"/>
        <v>WITH ZDATA AS
(SELECT NVL(kfc.VALUE,0)-NVL(kfc2.VALUE,0) AS Value, 
'123' AS BusinessObjectKey, 
kfc.CHARACTERISTIC AS Characteristic
FROM ANZ_0596_REHA kfc
JOIN PDP_ANZ_0596_REHA kfc2 ON kfc.BO_KEY = kfc2.BO_KEY AND kfc.CHARACTERISTIC = kfc2.CHARACTERISTIC
) 
SELECT 'VGL_ABS_0596_REHA' AS KeyFigureName,
'123456' AS ProcessingRunId, 
'12345' AS WaveId, 
Characteristic, BusinessObjectKey, 
Value AS Value 
FROM ZDATA 
ORDER BY BusinessObjectKey;</v>
      </c>
    </row>
    <row r="8" spans="1:19" x14ac:dyDescent="0.2">
      <c r="A8" s="4">
        <v>596</v>
      </c>
      <c r="B8" s="3">
        <v>2</v>
      </c>
      <c r="C8" s="3" t="s">
        <v>53</v>
      </c>
      <c r="D8" s="3" t="s">
        <v>38</v>
      </c>
      <c r="E8" s="3" t="s">
        <v>21</v>
      </c>
      <c r="F8" s="3" t="s">
        <v>54</v>
      </c>
      <c r="G8" s="3" t="s">
        <v>40</v>
      </c>
      <c r="I8" s="3" t="s">
        <v>41</v>
      </c>
      <c r="M8" s="3" t="s">
        <v>42</v>
      </c>
      <c r="N8" s="3" t="s">
        <v>43</v>
      </c>
      <c r="O8" s="3" t="s">
        <v>44</v>
      </c>
      <c r="P8" s="3" t="s">
        <v>55</v>
      </c>
      <c r="S8" s="3" t="str">
        <f t="shared" si="0"/>
        <v>WITH ZDATA AS
(SELECT TRUNC((NVL(kfc.VALUE,0)-NVL(kfc2.VALUE,0)) / kfc2.VALUE,10) AS Value, 
'123' AS BusinessObjectKey, 
kfc.CHARACTERISTIC AS Characteristic
FROM ANZ_0596_AKUT kfc
JOIN PDP_ANZ_0596_AKUT kfc2 ON kfc.BO_KEY = kfc2.BO_KEY AND kfc.CHARACTERISTIC = kfc2.CHARACTERISTIC
WHERE kfc2.VALUE &lt;&gt; 0 AND kfc2.VALUE IS NOT NULL
) 
SELECT 'VGL_REL_0596_AKUT' AS KeyFigureName,
'123456' AS ProcessingRunId, 
'12345' AS WaveId, 
Characteristic, BusinessObjectKey, 
Value AS Value 
FROM ZDATA 
ORDER BY BusinessObjectKey;</v>
      </c>
    </row>
    <row r="9" spans="1:19" x14ac:dyDescent="0.2">
      <c r="A9" s="4">
        <v>596</v>
      </c>
      <c r="B9" s="3">
        <v>2</v>
      </c>
      <c r="C9" s="3" t="s">
        <v>56</v>
      </c>
      <c r="D9" s="3" t="s">
        <v>46</v>
      </c>
      <c r="E9" s="3" t="s">
        <v>21</v>
      </c>
      <c r="F9" s="3" t="s">
        <v>54</v>
      </c>
      <c r="G9" s="3" t="s">
        <v>40</v>
      </c>
      <c r="I9" s="3" t="s">
        <v>41</v>
      </c>
      <c r="M9" s="3" t="s">
        <v>47</v>
      </c>
      <c r="N9" s="3" t="s">
        <v>43</v>
      </c>
      <c r="O9" s="3" t="s">
        <v>48</v>
      </c>
      <c r="P9" s="3" t="s">
        <v>55</v>
      </c>
      <c r="S9" s="3" t="str">
        <f t="shared" si="0"/>
        <v>WITH ZDATA AS
(SELECT TRUNC((NVL(kfc.VALUE,0)-NVL(kfc2.VALUE,0)) / kfc2.VALUE,10) AS Value, 
'123' AS BusinessObjectKey, 
kfc.CHARACTERISTIC AS Characteristic
FROM ANZ_0596_PSY kfc
JOIN PDP_ANZ_0596_PSY kfc2 ON kfc.BO_KEY = kfc2.BO_KEY AND kfc.CHARACTERISTIC = kfc2.CHARACTERISTIC
WHERE kfc2.VALUE &lt;&gt; 0 AND kfc2.VALUE IS NOT NULL
) 
SELECT 'VGL_REL_0596_PSY' AS KeyFigureName,
'123456' AS ProcessingRunId, 
'12345' AS WaveId, 
Characteristic, BusinessObjectKey, 
Value AS Value 
FROM ZDATA 
ORDER BY BusinessObjectKey;</v>
      </c>
    </row>
    <row r="10" spans="1:19" x14ac:dyDescent="0.2">
      <c r="A10" s="4">
        <v>596</v>
      </c>
      <c r="B10" s="3">
        <v>2</v>
      </c>
      <c r="C10" s="3" t="s">
        <v>57</v>
      </c>
      <c r="D10" s="3" t="s">
        <v>50</v>
      </c>
      <c r="E10" s="3" t="s">
        <v>21</v>
      </c>
      <c r="F10" s="3" t="s">
        <v>54</v>
      </c>
      <c r="G10" s="3" t="s">
        <v>40</v>
      </c>
      <c r="I10" s="3" t="s">
        <v>41</v>
      </c>
      <c r="M10" s="3" t="s">
        <v>51</v>
      </c>
      <c r="N10" s="3" t="s">
        <v>43</v>
      </c>
      <c r="O10" s="3" t="s">
        <v>52</v>
      </c>
      <c r="P10" s="3" t="s">
        <v>55</v>
      </c>
      <c r="S10" s="3" t="str">
        <f t="shared" si="0"/>
        <v>WITH ZDATA AS
(SELECT TRUNC((NVL(kfc.VALUE,0)-NVL(kfc2.VALUE,0)) / kfc2.VALUE,10) AS Value, 
'123' AS BusinessObjectKey, 
kfc.CHARACTERISTIC AS Characteristic
FROM ANZ_0596_REHA kfc
JOIN PDP_ANZ_0596_REHA kfc2 ON kfc.BO_KEY = kfc2.BO_KEY AND kfc.CHARACTERISTIC = kfc2.CHARACTERISTIC
WHERE kfc2.VALUE &lt;&gt; 0 AND kfc2.VALUE IS NOT NULL
) 
SELECT 'VGL_REL_0596_REHA' AS KeyFigureName,
'123456' AS ProcessingRunId, 
'12345' AS WaveId, 
Characteristic, BusinessObjectKey, 
Value AS Value 
FROM ZDATA 
ORDER BY BusinessObjectKey;</v>
      </c>
    </row>
    <row r="11" spans="1:19" x14ac:dyDescent="0.2">
      <c r="A11" s="4">
        <v>623</v>
      </c>
      <c r="B11" s="3">
        <v>1</v>
      </c>
      <c r="C11" s="3" t="s">
        <v>58</v>
      </c>
      <c r="D11" s="3" t="s">
        <v>59</v>
      </c>
      <c r="E11" s="3" t="s">
        <v>21</v>
      </c>
      <c r="F11" s="3" t="s">
        <v>60</v>
      </c>
      <c r="H11" s="3" t="s">
        <v>61</v>
      </c>
      <c r="I11" s="3" t="s">
        <v>21</v>
      </c>
      <c r="J11" s="3" t="s">
        <v>62</v>
      </c>
      <c r="K11" s="3" t="s">
        <v>63</v>
      </c>
      <c r="L11" s="3" t="s">
        <v>26</v>
      </c>
      <c r="M11" s="3" t="s">
        <v>64</v>
      </c>
      <c r="N11" s="3" t="s">
        <v>28</v>
      </c>
      <c r="S11" s="3" t="str">
        <f t="shared" si="0"/>
        <v>WITH ZDATA AS
(SELECT NVL(ktf.UV_KTR_44_REKOLE,0) AS Value, 
'123' AS BusinessObjectKey, 
CASE WHEN 1=1 THEN 'ANLAGENUTZUNGSKOSTEN' ELSE 'OTHER' 
END AS Characteristic
FROM KOSTENTRAEGERFALL ktf
) 
SELECT 'SUM_REKOLE_0623_KTF' AS KeyFigureName,
'123456' AS ProcessingRunId, 
'12345' AS WaveId, 
Characteristic, BusinessObjectKey, 
SUM(Value) AS Value 
FROM ZDATA 
GROUP BY Characteristic, BusinessObjectKey
ORDER BY BusinessObjectKey;</v>
      </c>
    </row>
    <row r="12" spans="1:19" x14ac:dyDescent="0.2">
      <c r="A12" s="4">
        <v>623</v>
      </c>
      <c r="B12" s="3">
        <v>1</v>
      </c>
      <c r="C12" s="3" t="s">
        <v>65</v>
      </c>
      <c r="D12" s="3" t="s">
        <v>66</v>
      </c>
      <c r="E12" s="3" t="s">
        <v>41</v>
      </c>
      <c r="F12" s="3" t="s">
        <v>67</v>
      </c>
      <c r="H12" s="3" t="s">
        <v>61</v>
      </c>
      <c r="I12" s="3" t="s">
        <v>21</v>
      </c>
      <c r="J12" s="3" t="s">
        <v>62</v>
      </c>
      <c r="K12" s="3" t="s">
        <v>63</v>
      </c>
      <c r="L12" s="3" t="s">
        <v>26</v>
      </c>
      <c r="M12" s="3" t="s">
        <v>68</v>
      </c>
      <c r="N12" s="3" t="s">
        <v>28</v>
      </c>
      <c r="S12" s="3" t="str">
        <f t="shared" si="0"/>
        <v>WITH ZDATA AS
(SELECT NVL(kts.UV_KTR_44_REKOLE,0) AS Value, 
'123' AS BusinessObjectKey, 
CASE WHEN 1=1 THEN 'ANLAGENUTZUNGSKOSTEN' ELSE 'OTHER' 
END AS Characteristic
FROM KOSTENTRAEGERSTANDORT kts
) 
SELECT 'SUM_REKOLE_0623_KTS' AS KeyFigureName,
'123456' AS ProcessingRunId, 
'12345' AS WaveId, 
Characteristic, BusinessObjectKey, 
SUM(Value) AS Value 
FROM ZDATA 
GROUP BY Characteristic, BusinessObjectKey
ORDER BY BusinessObjectKey;</v>
      </c>
    </row>
    <row r="13" spans="1:19" x14ac:dyDescent="0.2">
      <c r="A13" s="4">
        <v>623</v>
      </c>
      <c r="B13" s="3">
        <v>1</v>
      </c>
      <c r="C13" s="3" t="s">
        <v>69</v>
      </c>
      <c r="D13" s="3" t="s">
        <v>70</v>
      </c>
      <c r="E13" s="3" t="s">
        <v>41</v>
      </c>
      <c r="F13" s="3" t="s">
        <v>71</v>
      </c>
      <c r="H13" s="3" t="s">
        <v>61</v>
      </c>
      <c r="I13" s="3" t="s">
        <v>21</v>
      </c>
      <c r="J13" s="3" t="s">
        <v>62</v>
      </c>
      <c r="K13" s="3" t="s">
        <v>63</v>
      </c>
      <c r="L13" s="3" t="s">
        <v>26</v>
      </c>
      <c r="M13" s="3" t="s">
        <v>72</v>
      </c>
      <c r="N13" s="3" t="s">
        <v>28</v>
      </c>
      <c r="S13" s="3" t="str">
        <f t="shared" si="0"/>
        <v>WITH ZDATA AS
(SELECT NVL(ktu.UV_KTR_44_REKOLE,0) AS Value, 
'123' AS BusinessObjectKey, 
CASE WHEN 1=1 THEN 'ANLAGENUTZUNGSKOSTEN' ELSE 'OTHER' 
END AS Characteristic
FROM KOSTENTRAEGERUNTERNEHMEN ktu
) 
SELECT 'SUM_REKOLE_0623_KTU' AS KeyFigureName,
'123456' AS ProcessingRunId, 
'12345' AS WaveId, 
Characteristic, BusinessObjectKey, 
SUM(Value) AS Value 
FROM ZDATA 
GROUP BY Characteristic, BusinessObjectKey
ORDER BY BusinessObjectKey;</v>
      </c>
    </row>
    <row r="14" spans="1:19" x14ac:dyDescent="0.2">
      <c r="A14" s="4">
        <v>623</v>
      </c>
      <c r="B14" s="3">
        <v>1</v>
      </c>
      <c r="C14" s="3" t="s">
        <v>73</v>
      </c>
      <c r="D14" s="3" t="s">
        <v>59</v>
      </c>
      <c r="E14" s="3" t="s">
        <v>21</v>
      </c>
      <c r="F14" s="3" t="s">
        <v>74</v>
      </c>
      <c r="H14" s="3" t="s">
        <v>61</v>
      </c>
      <c r="I14" s="3" t="s">
        <v>21</v>
      </c>
      <c r="J14" s="3" t="s">
        <v>62</v>
      </c>
      <c r="K14" s="3" t="s">
        <v>63</v>
      </c>
      <c r="L14" s="3" t="s">
        <v>26</v>
      </c>
      <c r="M14" s="3" t="s">
        <v>64</v>
      </c>
      <c r="N14" s="3" t="s">
        <v>28</v>
      </c>
      <c r="S14" s="3" t="str">
        <f t="shared" si="0"/>
        <v>WITH ZDATA AS
(SELECT NVL(ktf.UV_KTR_44_VKL,0) AS Value, 
'123' AS BusinessObjectKey, 
CASE WHEN 1=1 THEN 'ANLAGENUTZUNGSKOSTEN' ELSE 'OTHER' 
END AS Characteristic
FROM KOSTENTRAEGERFALL ktf
) 
SELECT 'SUM_VKL_0623_KTF' AS KeyFigureName,
'123456' AS ProcessingRunId, 
'12345' AS WaveId, 
Characteristic, BusinessObjectKey, 
SUM(Value) AS Value 
FROM ZDATA 
GROUP BY Characteristic, BusinessObjectKey
ORDER BY BusinessObjectKey;</v>
      </c>
    </row>
    <row r="15" spans="1:19" x14ac:dyDescent="0.2">
      <c r="A15" s="4">
        <v>623</v>
      </c>
      <c r="B15" s="3">
        <v>1</v>
      </c>
      <c r="C15" s="3" t="s">
        <v>75</v>
      </c>
      <c r="D15" s="3" t="s">
        <v>66</v>
      </c>
      <c r="E15" s="3" t="s">
        <v>41</v>
      </c>
      <c r="F15" s="3" t="s">
        <v>76</v>
      </c>
      <c r="H15" s="3" t="s">
        <v>61</v>
      </c>
      <c r="I15" s="3" t="s">
        <v>21</v>
      </c>
      <c r="J15" s="3" t="s">
        <v>62</v>
      </c>
      <c r="K15" s="3" t="s">
        <v>63</v>
      </c>
      <c r="L15" s="3" t="s">
        <v>26</v>
      </c>
      <c r="M15" s="3" t="s">
        <v>68</v>
      </c>
      <c r="N15" s="3" t="s">
        <v>28</v>
      </c>
      <c r="S15" s="3" t="str">
        <f t="shared" si="0"/>
        <v>WITH ZDATA AS
(SELECT NVL(kts.UV_KTR_44_VKL,0) AS Value, 
'123' AS BusinessObjectKey, 
CASE WHEN 1=1 THEN 'ANLAGENUTZUNGSKOSTEN' ELSE 'OTHER' 
END AS Characteristic
FROM KOSTENTRAEGERSTANDORT kts
) 
SELECT 'SUM_VKL_0623_KTS' AS KeyFigureName,
'123456' AS ProcessingRunId, 
'12345' AS WaveId, 
Characteristic, BusinessObjectKey, 
SUM(Value) AS Value 
FROM ZDATA 
GROUP BY Characteristic, BusinessObjectKey
ORDER BY BusinessObjectKey;</v>
      </c>
    </row>
    <row r="16" spans="1:19" x14ac:dyDescent="0.2">
      <c r="A16" s="4">
        <v>623</v>
      </c>
      <c r="B16" s="3">
        <v>1</v>
      </c>
      <c r="C16" s="3" t="s">
        <v>77</v>
      </c>
      <c r="D16" s="3" t="s">
        <v>70</v>
      </c>
      <c r="E16" s="3" t="s">
        <v>41</v>
      </c>
      <c r="F16" s="3" t="s">
        <v>78</v>
      </c>
      <c r="H16" s="3" t="s">
        <v>61</v>
      </c>
      <c r="I16" s="3" t="s">
        <v>21</v>
      </c>
      <c r="J16" s="3" t="s">
        <v>62</v>
      </c>
      <c r="K16" s="3" t="s">
        <v>63</v>
      </c>
      <c r="L16" s="3" t="s">
        <v>26</v>
      </c>
      <c r="M16" s="3" t="s">
        <v>72</v>
      </c>
      <c r="N16" s="3" t="s">
        <v>28</v>
      </c>
      <c r="S16" s="3" t="str">
        <f t="shared" si="0"/>
        <v>WITH ZDATA AS
(SELECT NVL(ktu.UV_KTR_44_VKL,0) AS Value, 
'123' AS BusinessObjectKey, 
CASE WHEN 1=1 THEN 'ANLAGENUTZUNGSKOSTEN' ELSE 'OTHER' 
END AS Characteristic
FROM KOSTENTRAEGERUNTERNEHMEN ktu
) 
SELECT 'SUM_VKL_0623_KTU' AS KeyFigureName,
'123456' AS ProcessingRunId, 
'12345' AS WaveId, 
Characteristic, BusinessObjectKey, 
SUM(Value) AS Value 
FROM ZDATA 
GROUP BY Characteristic, BusinessObjectKey
ORDER BY BusinessObjectKey;</v>
      </c>
    </row>
    <row r="17" spans="1:19" x14ac:dyDescent="0.2">
      <c r="A17" s="4">
        <v>623</v>
      </c>
      <c r="B17" s="3">
        <v>2</v>
      </c>
      <c r="C17" s="3" t="s">
        <v>79</v>
      </c>
      <c r="D17" s="3" t="s">
        <v>80</v>
      </c>
      <c r="E17" s="3" t="s">
        <v>21</v>
      </c>
      <c r="F17" s="3" t="s">
        <v>81</v>
      </c>
      <c r="G17" s="3" t="s">
        <v>40</v>
      </c>
      <c r="I17" s="3" t="s">
        <v>41</v>
      </c>
      <c r="M17" s="3" t="s">
        <v>82</v>
      </c>
      <c r="N17" s="3" t="s">
        <v>43</v>
      </c>
      <c r="O17" s="3" t="s">
        <v>83</v>
      </c>
      <c r="S17" s="3" t="str">
        <f t="shared" si="0"/>
        <v>WITH ZDATA AS
(SELECT NVL(kfc.VALUE,0)+NVL(kfc2.VALUE,0)+NVL(kfc3.VALUE,0) AS Value, 
'123' AS BusinessObjectKey, 
kfc.CHARACTERISTIC AS Characteristic
FROM SUM_REKOLE_0623_KTF kfc
JOIN SUM_REKOLE_0623_KTS kfc2 ON kfc.BO_KEY = kfc2.BO_KEY AND kfc.CHARACTERISTIC = kfc2.CHARACTERISTIC JOIN SUM_REKOLE_0623_KTU kfc3 ON kfc.BO_KEY = kfc3.BO_KEY AND kfc.CHARACTERISTIC = kfc3.CHARACTERISTIC
) 
SELECT 'SUM_REKOLE_0623' AS KeyFigureName,
'123456' AS ProcessingRunId, 
'12345' AS WaveId, 
Characteristic, BusinessObjectKey, 
Value AS Value 
FROM ZDATA 
ORDER BY BusinessObjectKey;</v>
      </c>
    </row>
    <row r="18" spans="1:19" x14ac:dyDescent="0.2">
      <c r="A18" s="4">
        <v>623</v>
      </c>
      <c r="B18" s="3">
        <v>2</v>
      </c>
      <c r="C18" s="3" t="s">
        <v>84</v>
      </c>
      <c r="D18" s="3" t="s">
        <v>85</v>
      </c>
      <c r="E18" s="3" t="s">
        <v>21</v>
      </c>
      <c r="F18" s="3" t="s">
        <v>81</v>
      </c>
      <c r="G18" s="3" t="s">
        <v>40</v>
      </c>
      <c r="I18" s="3" t="s">
        <v>41</v>
      </c>
      <c r="M18" s="3" t="s">
        <v>86</v>
      </c>
      <c r="N18" s="3" t="s">
        <v>43</v>
      </c>
      <c r="O18" s="3" t="s">
        <v>87</v>
      </c>
      <c r="S18" s="3" t="str">
        <f t="shared" si="0"/>
        <v>WITH ZDATA AS
(SELECT NVL(kfc.VALUE,0)+NVL(kfc2.VALUE,0)+NVL(kfc3.VALUE,0) AS Value, 
'123' AS BusinessObjectKey, 
kfc.CHARACTERISTIC AS Characteristic
FROM SUM_VKL_0623_KTF kfc
JOIN SUM_VKL_0623_KTS kfc2 ON kfc.BO_KEY = kfc2.BO_KEY AND kfc.CHARACTERISTIC = kfc2.CHARACTERISTIC JOIN SUM_REKOLE_0623_KTU kfc3 ON kfc.BO_KEY = kfc3.BO_KEY AND kfc.CHARACTERISTIC = kfc3.CHARACTERISTIC
) 
SELECT 'SUM_VKL_0623' AS KeyFigureName,
'123456' AS ProcessingRunId, 
'12345' AS WaveId, 
Characteristic, BusinessObjectKey, 
Value AS Value 
FROM ZDATA 
ORDER BY BusinessObjectKey;</v>
      </c>
    </row>
    <row r="19" spans="1:19" x14ac:dyDescent="0.2">
      <c r="A19" s="4">
        <v>646</v>
      </c>
      <c r="B19" s="3">
        <v>1</v>
      </c>
      <c r="C19" s="3" t="s">
        <v>88</v>
      </c>
      <c r="D19" s="3" t="s">
        <v>89</v>
      </c>
      <c r="E19" s="3" t="s">
        <v>21</v>
      </c>
      <c r="F19" s="3" t="s">
        <v>90</v>
      </c>
      <c r="H19" s="3" t="s">
        <v>23</v>
      </c>
      <c r="I19" s="3" t="s">
        <v>21</v>
      </c>
      <c r="J19" s="3" t="s">
        <v>91</v>
      </c>
      <c r="K19" s="3" t="s">
        <v>25</v>
      </c>
      <c r="L19" s="3" t="s">
        <v>26</v>
      </c>
      <c r="M19" s="3" t="s">
        <v>27</v>
      </c>
      <c r="N19" s="3" t="s">
        <v>28</v>
      </c>
      <c r="P19" s="3" t="s">
        <v>92</v>
      </c>
      <c r="S19" s="3" t="str">
        <f t="shared" si="0"/>
        <v>WITH ZDATA AS
(SELECT adm.FALL_KEY AS Value, 
'123' AS BusinessObjectKey, 
CASE WHEN adm.UV_TARIF=1 THEN 'TARIF_1'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0" spans="1:19" x14ac:dyDescent="0.2">
      <c r="A20" s="4">
        <v>646</v>
      </c>
      <c r="B20" s="3">
        <v>1</v>
      </c>
      <c r="C20" s="3" t="s">
        <v>88</v>
      </c>
      <c r="D20" s="3" t="s">
        <v>89</v>
      </c>
      <c r="E20" s="3" t="s">
        <v>21</v>
      </c>
      <c r="F20" s="3" t="s">
        <v>90</v>
      </c>
      <c r="H20" s="3" t="s">
        <v>23</v>
      </c>
      <c r="I20" s="3" t="s">
        <v>21</v>
      </c>
      <c r="J20" s="3" t="s">
        <v>93</v>
      </c>
      <c r="K20" s="3" t="s">
        <v>32</v>
      </c>
      <c r="L20" s="3" t="s">
        <v>26</v>
      </c>
      <c r="M20" s="3" t="s">
        <v>27</v>
      </c>
      <c r="N20" s="3" t="s">
        <v>28</v>
      </c>
      <c r="P20" s="3" t="s">
        <v>92</v>
      </c>
      <c r="S20" s="3" t="str">
        <f t="shared" si="0"/>
        <v>WITH ZDATA AS
(SELECT adm.FALL_KEY AS Value, 
'123' AS BusinessObjectKey, 
CASE WHEN adm.UV_TARIF=5 THEN 'TARIF_5'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1" spans="1:19" x14ac:dyDescent="0.2">
      <c r="A21" s="4">
        <v>646</v>
      </c>
      <c r="B21" s="3">
        <v>1</v>
      </c>
      <c r="C21" s="3" t="s">
        <v>88</v>
      </c>
      <c r="D21" s="3" t="s">
        <v>89</v>
      </c>
      <c r="E21" s="3" t="s">
        <v>21</v>
      </c>
      <c r="F21" s="3" t="s">
        <v>90</v>
      </c>
      <c r="H21" s="3" t="s">
        <v>23</v>
      </c>
      <c r="I21" s="3" t="s">
        <v>21</v>
      </c>
      <c r="J21" s="3" t="s">
        <v>94</v>
      </c>
      <c r="K21" s="3" t="s">
        <v>35</v>
      </c>
      <c r="L21" s="3" t="s">
        <v>26</v>
      </c>
      <c r="M21" s="3" t="s">
        <v>27</v>
      </c>
      <c r="N21" s="3" t="s">
        <v>28</v>
      </c>
      <c r="P21" s="3" t="s">
        <v>92</v>
      </c>
      <c r="S21" s="3" t="str">
        <f t="shared" si="0"/>
        <v>WITH ZDATA AS
(SELECT adm.FALL_KEY AS Value, 
'123' AS BusinessObjectKey, 
CASE WHEN adm.UV_TARIF=3 THEN 'TARIF_3'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2" spans="1:19" x14ac:dyDescent="0.2">
      <c r="A22" s="4">
        <v>646</v>
      </c>
      <c r="B22" s="3">
        <v>1</v>
      </c>
      <c r="C22" s="3" t="s">
        <v>95</v>
      </c>
      <c r="D22" s="3" t="s">
        <v>96</v>
      </c>
      <c r="E22" s="3" t="s">
        <v>21</v>
      </c>
      <c r="F22" s="3" t="s">
        <v>97</v>
      </c>
      <c r="H22" s="3" t="s">
        <v>61</v>
      </c>
      <c r="I22" s="3" t="s">
        <v>21</v>
      </c>
      <c r="J22" s="3" t="s">
        <v>91</v>
      </c>
      <c r="K22" s="3" t="s">
        <v>25</v>
      </c>
      <c r="L22" s="3" t="s">
        <v>26</v>
      </c>
      <c r="M22" s="3" t="s">
        <v>27</v>
      </c>
      <c r="N22" s="3" t="s">
        <v>28</v>
      </c>
      <c r="O22" s="3" t="s">
        <v>98</v>
      </c>
      <c r="P22" s="3" t="s">
        <v>92</v>
      </c>
      <c r="S22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adm.UV_TARIF=1 THEN 'TARIF_1'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3" spans="1:19" x14ac:dyDescent="0.2">
      <c r="A23" s="4">
        <v>646</v>
      </c>
      <c r="B23" s="3">
        <v>1</v>
      </c>
      <c r="C23" s="3" t="s">
        <v>95</v>
      </c>
      <c r="D23" s="3" t="s">
        <v>96</v>
      </c>
      <c r="E23" s="3" t="s">
        <v>21</v>
      </c>
      <c r="F23" s="3" t="s">
        <v>97</v>
      </c>
      <c r="H23" s="3" t="s">
        <v>61</v>
      </c>
      <c r="I23" s="3" t="s">
        <v>21</v>
      </c>
      <c r="J23" s="3" t="s">
        <v>93</v>
      </c>
      <c r="K23" s="3" t="s">
        <v>32</v>
      </c>
      <c r="L23" s="3" t="s">
        <v>26</v>
      </c>
      <c r="M23" s="3" t="s">
        <v>27</v>
      </c>
      <c r="N23" s="3" t="s">
        <v>28</v>
      </c>
      <c r="O23" s="3" t="s">
        <v>98</v>
      </c>
      <c r="P23" s="3" t="s">
        <v>92</v>
      </c>
      <c r="S23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adm.UV_TARIF=5 THEN 'TARIF_5'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4" spans="1:19" x14ac:dyDescent="0.2">
      <c r="A24" s="4">
        <v>646</v>
      </c>
      <c r="B24" s="3">
        <v>1</v>
      </c>
      <c r="C24" s="3" t="s">
        <v>95</v>
      </c>
      <c r="D24" s="3" t="s">
        <v>96</v>
      </c>
      <c r="E24" s="3" t="s">
        <v>21</v>
      </c>
      <c r="F24" s="3" t="s">
        <v>97</v>
      </c>
      <c r="H24" s="3" t="s">
        <v>61</v>
      </c>
      <c r="I24" s="3" t="s">
        <v>21</v>
      </c>
      <c r="J24" s="3" t="s">
        <v>94</v>
      </c>
      <c r="K24" s="3" t="s">
        <v>35</v>
      </c>
      <c r="L24" s="3" t="s">
        <v>26</v>
      </c>
      <c r="M24" s="3" t="s">
        <v>27</v>
      </c>
      <c r="N24" s="3" t="s">
        <v>28</v>
      </c>
      <c r="O24" s="3" t="s">
        <v>98</v>
      </c>
      <c r="P24" s="3" t="s">
        <v>92</v>
      </c>
      <c r="S24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adm.UV_TARIF=3 THEN 'TARIF_3'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5" spans="1:19" x14ac:dyDescent="0.2">
      <c r="A25" s="4">
        <v>646</v>
      </c>
      <c r="B25" s="3">
        <v>2</v>
      </c>
      <c r="C25" s="3" t="s">
        <v>99</v>
      </c>
      <c r="D25" s="3" t="s">
        <v>100</v>
      </c>
      <c r="E25" s="3" t="s">
        <v>21</v>
      </c>
      <c r="F25" s="3" t="s">
        <v>101</v>
      </c>
      <c r="G25" s="3" t="s">
        <v>40</v>
      </c>
      <c r="I25" s="3" t="s">
        <v>41</v>
      </c>
      <c r="M25" s="3" t="s">
        <v>102</v>
      </c>
      <c r="N25" s="3" t="s">
        <v>43</v>
      </c>
      <c r="O25" s="3" t="s">
        <v>103</v>
      </c>
      <c r="P25" s="3" t="s">
        <v>55</v>
      </c>
      <c r="S25" s="3" t="str">
        <f t="shared" si="0"/>
        <v>WITH ZDATA AS
(SELECT TRUNC(NVL(kfc.VALUE,0) / NVL(kfc2.VALUE,0),10) AS Value, 
'123' AS BusinessObjectKey, 
kfc.CHARACTERISTIC AS Characteristic
FROM SUM_0646 kfc
JOIN ANZ_0646_0647 kfc2 ON kfc.BO_KEY = kfc2.BO_KEY AND kfc.CHARACTERISTIC = kfc2.CHARACTERISTIC
WHERE kfc2.VALUE &lt;&gt; 0 AND kfc2.VALUE IS NOT NULL
) 
SELECT 'ERL_0646' AS KeyFigureName,
'123456' AS ProcessingRunId, 
'12345' AS WaveId, 
Characteristic, BusinessObjectKey, 
Value AS Value 
FROM ZDATA 
ORDER BY BusinessObjectKey;</v>
      </c>
    </row>
    <row r="26" spans="1:19" x14ac:dyDescent="0.2">
      <c r="A26" s="4">
        <v>646</v>
      </c>
      <c r="B26" s="3">
        <v>3</v>
      </c>
      <c r="C26" s="3" t="s">
        <v>104</v>
      </c>
      <c r="D26" s="3" t="s">
        <v>105</v>
      </c>
      <c r="E26" s="3" t="s">
        <v>21</v>
      </c>
      <c r="F26" s="3" t="s">
        <v>54</v>
      </c>
      <c r="G26" s="3" t="s">
        <v>40</v>
      </c>
      <c r="I26" s="3" t="s">
        <v>41</v>
      </c>
      <c r="M26" s="3" t="s">
        <v>106</v>
      </c>
      <c r="N26" s="3" t="s">
        <v>43</v>
      </c>
      <c r="O26" s="3" t="s">
        <v>107</v>
      </c>
      <c r="P26" s="3" t="s">
        <v>55</v>
      </c>
      <c r="S26" s="3" t="str">
        <f t="shared" si="0"/>
        <v>WITH ZDATA AS
(SELECT TRUNC((NVL(kfc.VALUE,0)-NVL(kfc2.VALUE,0)) / kfc2.VALUE,10) AS Value, 
'123' AS BusinessObjectKey, 
kfc.CHARACTERISTIC AS Characteristic
FROM ERL_0646 kfc
JOIN PDP_ERL_0646 kfc2 ON kfc.BO_KEY = kfc2.BO_KEY AND kfc.CHARACTERISTIC = kfc2.CHARACTERISTIC
WHERE kfc2.VALUE &lt;&gt; 0 AND kfc2.VALUE IS NOT NULL
) 
SELECT 'VGL_REL_0646' AS KeyFigureName,
'123456' AS ProcessingRunId, 
'12345' AS WaveId, 
Characteristic, BusinessObjectKey, 
Value AS Value 
FROM ZDATA 
ORDER BY BusinessObjectKey;</v>
      </c>
    </row>
    <row r="27" spans="1:19" x14ac:dyDescent="0.2">
      <c r="A27" s="4">
        <v>647</v>
      </c>
      <c r="B27" s="3">
        <v>1</v>
      </c>
      <c r="C27" s="3" t="s">
        <v>108</v>
      </c>
      <c r="D27" s="3" t="s">
        <v>96</v>
      </c>
      <c r="E27" s="3" t="s">
        <v>21</v>
      </c>
      <c r="F27" s="3" t="s">
        <v>109</v>
      </c>
      <c r="H27" s="3" t="s">
        <v>61</v>
      </c>
      <c r="I27" s="3" t="s">
        <v>21</v>
      </c>
      <c r="J27" s="3" t="s">
        <v>91</v>
      </c>
      <c r="K27" s="3" t="s">
        <v>25</v>
      </c>
      <c r="L27" s="3" t="s">
        <v>26</v>
      </c>
      <c r="M27" s="3" t="s">
        <v>27</v>
      </c>
      <c r="N27" s="3" t="s">
        <v>28</v>
      </c>
      <c r="O27" s="3" t="s">
        <v>98</v>
      </c>
      <c r="P27" s="3" t="s">
        <v>92</v>
      </c>
      <c r="S27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28" spans="1:19" x14ac:dyDescent="0.2">
      <c r="A28" s="4">
        <v>647</v>
      </c>
      <c r="B28" s="3">
        <v>1</v>
      </c>
      <c r="C28" s="3" t="s">
        <v>108</v>
      </c>
      <c r="D28" s="3" t="s">
        <v>96</v>
      </c>
      <c r="E28" s="3" t="s">
        <v>21</v>
      </c>
      <c r="F28" s="3" t="s">
        <v>109</v>
      </c>
      <c r="H28" s="3" t="s">
        <v>61</v>
      </c>
      <c r="I28" s="3" t="s">
        <v>21</v>
      </c>
      <c r="J28" s="3" t="s">
        <v>93</v>
      </c>
      <c r="K28" s="3" t="s">
        <v>32</v>
      </c>
      <c r="L28" s="3" t="s">
        <v>26</v>
      </c>
      <c r="M28" s="3" t="s">
        <v>27</v>
      </c>
      <c r="N28" s="3" t="s">
        <v>28</v>
      </c>
      <c r="O28" s="3" t="s">
        <v>98</v>
      </c>
      <c r="P28" s="3" t="s">
        <v>92</v>
      </c>
      <c r="S28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29" spans="1:19" x14ac:dyDescent="0.2">
      <c r="A29" s="4">
        <v>647</v>
      </c>
      <c r="B29" s="3">
        <v>1</v>
      </c>
      <c r="C29" s="3" t="s">
        <v>108</v>
      </c>
      <c r="D29" s="3" t="s">
        <v>96</v>
      </c>
      <c r="E29" s="3" t="s">
        <v>21</v>
      </c>
      <c r="F29" s="3" t="s">
        <v>109</v>
      </c>
      <c r="H29" s="3" t="s">
        <v>61</v>
      </c>
      <c r="I29" s="3" t="s">
        <v>21</v>
      </c>
      <c r="J29" s="3" t="s">
        <v>94</v>
      </c>
      <c r="K29" s="3" t="s">
        <v>35</v>
      </c>
      <c r="L29" s="3" t="s">
        <v>26</v>
      </c>
      <c r="M29" s="3" t="s">
        <v>27</v>
      </c>
      <c r="N29" s="3" t="s">
        <v>28</v>
      </c>
      <c r="O29" s="3" t="s">
        <v>98</v>
      </c>
      <c r="P29" s="3" t="s">
        <v>92</v>
      </c>
      <c r="S29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30" spans="1:19" x14ac:dyDescent="0.2">
      <c r="A30" s="4">
        <v>647</v>
      </c>
      <c r="B30" s="3">
        <v>2</v>
      </c>
      <c r="C30" s="3" t="s">
        <v>110</v>
      </c>
      <c r="D30" s="3" t="s">
        <v>111</v>
      </c>
      <c r="E30" s="3" t="s">
        <v>21</v>
      </c>
      <c r="F30" s="3" t="s">
        <v>101</v>
      </c>
      <c r="G30" s="3" t="s">
        <v>40</v>
      </c>
      <c r="I30" s="3" t="s">
        <v>41</v>
      </c>
      <c r="M30" s="3" t="s">
        <v>112</v>
      </c>
      <c r="N30" s="3" t="s">
        <v>43</v>
      </c>
      <c r="O30" s="3" t="s">
        <v>103</v>
      </c>
      <c r="P30" s="3" t="s">
        <v>55</v>
      </c>
      <c r="S30" s="3" t="str">
        <f t="shared" si="0"/>
        <v>WITH ZDATA AS
(SELECT TRUNC(NVL(kfc.VALUE,0) / NVL(kfc2.VALUE,0),10) AS Value, 
'123' AS BusinessObjectKey, 
kfc.CHARACTERISTIC AS Characteristic
FROM SUM_0647 kfc
JOIN ANZ_0646_0647 kfc2 ON kfc.BO_KEY = kfc2.BO_KEY AND kfc.CHARACTERISTIC = kfc2.CHARACTERISTIC
WHERE kfc2.VALUE &lt;&gt; 0 AND kfc2.VALUE IS NOT NULL
) 
SELECT 'KOS_0647' AS KeyFigureName,
'123456' AS ProcessingRunId, 
'12345' AS WaveId, 
Characteristic, BusinessObjectKey, 
Value AS Value 
FROM ZDATA 
ORDER BY BusinessObjectKey;</v>
      </c>
    </row>
    <row r="31" spans="1:19" x14ac:dyDescent="0.2">
      <c r="A31" s="4">
        <v>647</v>
      </c>
      <c r="B31" s="3">
        <v>3</v>
      </c>
      <c r="C31" s="3" t="s">
        <v>113</v>
      </c>
      <c r="D31" s="3" t="s">
        <v>114</v>
      </c>
      <c r="E31" s="3" t="s">
        <v>21</v>
      </c>
      <c r="F31" s="3" t="s">
        <v>54</v>
      </c>
      <c r="G31" s="3" t="s">
        <v>40</v>
      </c>
      <c r="I31" s="3" t="s">
        <v>41</v>
      </c>
      <c r="M31" s="3" t="s">
        <v>115</v>
      </c>
      <c r="N31" s="3" t="s">
        <v>43</v>
      </c>
      <c r="O31" s="3" t="s">
        <v>116</v>
      </c>
      <c r="P31" s="3" t="s">
        <v>55</v>
      </c>
      <c r="S31" s="3" t="str">
        <f t="shared" si="0"/>
        <v>WITH ZDATA AS
(SELECT TRUNC((NVL(kfc.VALUE,0)-NVL(kfc2.VALUE,0)) / kfc2.VALUE,10) AS Value, 
'123' AS BusinessObjectKey, 
kfc.CHARACTERISTIC AS Characteristic
FROM KOS_0647 kfc
JOIN PDP_KOS_0647 kfc2 ON kfc.BO_KEY = kfc2.BO_KEY AND kfc.CHARACTERISTIC = kfc2.CHARACTERISTIC
WHERE kfc2.VALUE &lt;&gt; 0 AND kfc2.VALUE IS NOT NULL
) 
SELECT 'VGL_REL_0647' AS KeyFigureName,
'123456' AS ProcessingRunId, 
'12345' AS WaveId, 
Characteristic, BusinessObjectKey, 
Value AS Value 
FROM ZDATA 
ORDER BY BusinessObjectKey;</v>
      </c>
    </row>
    <row r="32" spans="1:19" x14ac:dyDescent="0.2">
      <c r="A32" s="4">
        <v>649</v>
      </c>
      <c r="B32" s="3">
        <v>1</v>
      </c>
      <c r="C32" s="3" t="s">
        <v>117</v>
      </c>
      <c r="D32" s="3" t="s">
        <v>89</v>
      </c>
      <c r="E32" s="3" t="s">
        <v>21</v>
      </c>
      <c r="F32" s="3" t="s">
        <v>118</v>
      </c>
      <c r="H32" s="3" t="s">
        <v>23</v>
      </c>
      <c r="I32" s="3" t="s">
        <v>21</v>
      </c>
      <c r="J32" s="3" t="s">
        <v>91</v>
      </c>
      <c r="K32" s="3" t="s">
        <v>25</v>
      </c>
      <c r="L32" s="3" t="s">
        <v>26</v>
      </c>
      <c r="M32" s="3" t="s">
        <v>27</v>
      </c>
      <c r="N32" s="3" t="s">
        <v>28</v>
      </c>
      <c r="P32" s="3" t="s">
        <v>92</v>
      </c>
      <c r="S32" s="3" t="str">
        <f t="shared" si="0"/>
        <v>WITH ZDATA AS
(SELECT adm.UV_AUSTRITTSDATUM AS Value, 
'123' AS BusinessObjectKey, 
CASE WHEN adm.UV_TARIF=1 THEN 'TARIF_1'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3" spans="1:19" x14ac:dyDescent="0.2">
      <c r="A33" s="4">
        <v>649</v>
      </c>
      <c r="B33" s="3">
        <v>1</v>
      </c>
      <c r="C33" s="3" t="s">
        <v>117</v>
      </c>
      <c r="D33" s="3" t="s">
        <v>89</v>
      </c>
      <c r="E33" s="3" t="s">
        <v>21</v>
      </c>
      <c r="F33" s="3" t="s">
        <v>118</v>
      </c>
      <c r="H33" s="3" t="s">
        <v>23</v>
      </c>
      <c r="I33" s="3" t="s">
        <v>21</v>
      </c>
      <c r="J33" s="3" t="s">
        <v>93</v>
      </c>
      <c r="K33" s="3" t="s">
        <v>32</v>
      </c>
      <c r="L33" s="3" t="s">
        <v>26</v>
      </c>
      <c r="M33" s="3" t="s">
        <v>27</v>
      </c>
      <c r="N33" s="3" t="s">
        <v>28</v>
      </c>
      <c r="P33" s="3" t="s">
        <v>92</v>
      </c>
      <c r="S33" s="3" t="str">
        <f t="shared" si="0"/>
        <v>WITH ZDATA AS
(SELECT adm.UV_AUSTRITTSDATUM AS Value, 
'123' AS BusinessObjectKey, 
CASE WHEN adm.UV_TARIF=5 THEN 'TARIF_5'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4" spans="1:19" x14ac:dyDescent="0.2">
      <c r="A34" s="4">
        <v>649</v>
      </c>
      <c r="B34" s="3">
        <v>1</v>
      </c>
      <c r="C34" s="3" t="s">
        <v>117</v>
      </c>
      <c r="D34" s="3" t="s">
        <v>89</v>
      </c>
      <c r="E34" s="3" t="s">
        <v>21</v>
      </c>
      <c r="F34" s="3" t="s">
        <v>118</v>
      </c>
      <c r="H34" s="3" t="s">
        <v>23</v>
      </c>
      <c r="I34" s="3" t="s">
        <v>21</v>
      </c>
      <c r="J34" s="3" t="s">
        <v>94</v>
      </c>
      <c r="K34" s="3" t="s">
        <v>35</v>
      </c>
      <c r="L34" s="3" t="s">
        <v>26</v>
      </c>
      <c r="M34" s="3" t="s">
        <v>27</v>
      </c>
      <c r="N34" s="3" t="s">
        <v>28</v>
      </c>
      <c r="P34" s="3" t="s">
        <v>92</v>
      </c>
      <c r="S34" s="3" t="str">
        <f t="shared" si="0"/>
        <v>WITH ZDATA AS
(SELECT adm.UV_AUSTRITTSDATUM AS Value, 
'123' AS BusinessObjectKey, 
CASE WHEN adm.UV_TARIF=3 THEN 'TARIF_3'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5" spans="1:19" x14ac:dyDescent="0.2">
      <c r="A35" s="4">
        <v>649</v>
      </c>
      <c r="B35" s="3">
        <v>2</v>
      </c>
      <c r="C35" s="3" t="s">
        <v>119</v>
      </c>
      <c r="D35" s="3" t="s">
        <v>120</v>
      </c>
      <c r="E35" s="3" t="s">
        <v>21</v>
      </c>
      <c r="F35" s="3" t="s">
        <v>39</v>
      </c>
      <c r="G35" s="3" t="s">
        <v>40</v>
      </c>
      <c r="I35" s="3" t="s">
        <v>41</v>
      </c>
      <c r="M35" s="3" t="s">
        <v>121</v>
      </c>
      <c r="N35" s="3" t="s">
        <v>43</v>
      </c>
      <c r="O35" s="3" t="s">
        <v>122</v>
      </c>
      <c r="S35" s="3" t="str">
        <f t="shared" si="0"/>
        <v>WITH ZDATA AS
(SELECT NVL(kfc.VALUE,0)-NVL(kfc2.VALUE,0) AS Value, 
'123' AS BusinessObjectKey, 
kfc.CHARACTERISTIC AS Characteristic
FROM ANZ_0649 kfc
JOIN PDP_ANZ_0649 kfc2 ON kfc.BO_KEY = kfc2.BO_KEY AND kfc.CHARACTERISTIC = kfc2.CHARACTERISTIC
) 
SELECT 'VGL_ABS_0649' AS KeyFigureName,
'123456' AS ProcessingRunId, 
'12345' AS WaveId, 
Characteristic, BusinessObjectKey, 
Value AS Value 
FROM ZDATA 
ORDER BY BusinessObjectKey;</v>
      </c>
    </row>
    <row r="36" spans="1:19" x14ac:dyDescent="0.2">
      <c r="A36" s="4">
        <v>649</v>
      </c>
      <c r="B36" s="3">
        <v>2</v>
      </c>
      <c r="C36" s="3" t="s">
        <v>123</v>
      </c>
      <c r="D36" s="3" t="s">
        <v>120</v>
      </c>
      <c r="E36" s="3" t="s">
        <v>21</v>
      </c>
      <c r="F36" s="3" t="s">
        <v>54</v>
      </c>
      <c r="G36" s="3" t="s">
        <v>40</v>
      </c>
      <c r="I36" s="3" t="s">
        <v>41</v>
      </c>
      <c r="M36" s="3" t="s">
        <v>121</v>
      </c>
      <c r="N36" s="3" t="s">
        <v>43</v>
      </c>
      <c r="O36" s="3" t="s">
        <v>122</v>
      </c>
      <c r="P36" s="3" t="s">
        <v>55</v>
      </c>
      <c r="S36" s="3" t="str">
        <f t="shared" si="0"/>
        <v>WITH ZDATA AS
(SELECT TRUNC((NVL(kfc.VALUE,0)-NVL(kfc2.VALUE,0)) / kfc2.VALUE,10) AS Value, 
'123' AS BusinessObjectKey, 
kfc.CHARACTERISTIC AS Characteristic
FROM ANZ_0649 kfc
JOIN PDP_ANZ_0649 kfc2 ON kfc.BO_KEY = kfc2.BO_KEY AND kfc.CHARACTERISTIC = kfc2.CHARACTERISTIC
WHERE kfc2.VALUE &lt;&gt; 0 AND kfc2.VALUE IS NOT NULL
) 
SELECT 'VGL_REL_0649' AS KeyFigureName,
'123456' AS ProcessingRunId, 
'12345' AS WaveId, 
Characteristic, BusinessObjectKey, 
Value AS Value 
FROM ZDATA 
ORDER BY BusinessObjectKey;</v>
      </c>
    </row>
    <row r="37" spans="1:19" x14ac:dyDescent="0.2">
      <c r="A37" s="4">
        <v>650</v>
      </c>
      <c r="B37" s="3">
        <v>1</v>
      </c>
      <c r="C37" s="3" t="s">
        <v>124</v>
      </c>
      <c r="D37" s="3" t="s">
        <v>89</v>
      </c>
      <c r="E37" s="3" t="s">
        <v>21</v>
      </c>
      <c r="F37" s="3" t="s">
        <v>118</v>
      </c>
      <c r="H37" s="3" t="s">
        <v>23</v>
      </c>
      <c r="I37" s="3" t="s">
        <v>21</v>
      </c>
      <c r="J37" s="3" t="s">
        <v>125</v>
      </c>
      <c r="K37" s="3" t="s">
        <v>126</v>
      </c>
      <c r="L37" s="3" t="s">
        <v>26</v>
      </c>
      <c r="M37" s="3" t="s">
        <v>27</v>
      </c>
      <c r="N37" s="3" t="s">
        <v>28</v>
      </c>
      <c r="P37" s="3" t="s">
        <v>92</v>
      </c>
      <c r="S37" s="3" t="str">
        <f t="shared" si="0"/>
        <v>WITH ZDATA AS
(SELECT adm.UV_AUSTRITTSDATUM AS Value, 
'123' AS BusinessObjectKey, 
CASE WHEN adm.UV_TARIF IN (1,2) THEN 'TARIF_1_2'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38" spans="1:19" x14ac:dyDescent="0.2">
      <c r="A38" s="4">
        <v>650</v>
      </c>
      <c r="B38" s="3">
        <v>1</v>
      </c>
      <c r="C38" s="3" t="s">
        <v>124</v>
      </c>
      <c r="D38" s="3" t="s">
        <v>89</v>
      </c>
      <c r="E38" s="3" t="s">
        <v>21</v>
      </c>
      <c r="F38" s="3" t="s">
        <v>118</v>
      </c>
      <c r="H38" s="3" t="s">
        <v>23</v>
      </c>
      <c r="I38" s="3" t="s">
        <v>21</v>
      </c>
      <c r="J38" s="3" t="s">
        <v>127</v>
      </c>
      <c r="K38" s="3" t="s">
        <v>128</v>
      </c>
      <c r="L38" s="3" t="s">
        <v>26</v>
      </c>
      <c r="M38" s="3" t="s">
        <v>27</v>
      </c>
      <c r="N38" s="3" t="s">
        <v>28</v>
      </c>
      <c r="P38" s="3" t="s">
        <v>92</v>
      </c>
      <c r="S38" s="3" t="str">
        <f t="shared" si="0"/>
        <v>WITH ZDATA AS
(SELECT adm.UV_AUSTRITTSDATUM AS Value, 
'123' AS BusinessObjectKey, 
CASE WHEN adm.UV_TARIF IN (5,6) THEN 'TARIF_5_6'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39" spans="1:19" x14ac:dyDescent="0.2">
      <c r="A39" s="4">
        <v>650</v>
      </c>
      <c r="B39" s="3">
        <v>1</v>
      </c>
      <c r="C39" s="3" t="s">
        <v>124</v>
      </c>
      <c r="D39" s="3" t="s">
        <v>89</v>
      </c>
      <c r="E39" s="3" t="s">
        <v>21</v>
      </c>
      <c r="F39" s="3" t="s">
        <v>118</v>
      </c>
      <c r="H39" s="3" t="s">
        <v>23</v>
      </c>
      <c r="I39" s="3" t="s">
        <v>21</v>
      </c>
      <c r="J39" s="3" t="s">
        <v>129</v>
      </c>
      <c r="K39" s="3" t="s">
        <v>130</v>
      </c>
      <c r="L39" s="3" t="s">
        <v>26</v>
      </c>
      <c r="M39" s="3" t="s">
        <v>27</v>
      </c>
      <c r="N39" s="3" t="s">
        <v>28</v>
      </c>
      <c r="P39" s="3" t="s">
        <v>92</v>
      </c>
      <c r="S39" s="3" t="str">
        <f t="shared" si="0"/>
        <v>WITH ZDATA AS
(SELECT adm.UV_AUSTRITTSDATUM AS Value, 
'123' AS BusinessObjectKey, 
CASE WHEN adm.UV_TARIF IN (3,4) THEN 'TARIF_3_4'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40" spans="1:19" x14ac:dyDescent="0.2">
      <c r="A40" s="4">
        <v>650</v>
      </c>
      <c r="B40" s="3">
        <v>2</v>
      </c>
      <c r="C40" s="3" t="s">
        <v>131</v>
      </c>
      <c r="D40" s="3" t="s">
        <v>132</v>
      </c>
      <c r="E40" s="3" t="s">
        <v>21</v>
      </c>
      <c r="F40" s="3" t="s">
        <v>39</v>
      </c>
      <c r="G40" s="3" t="s">
        <v>40</v>
      </c>
      <c r="I40" s="3" t="s">
        <v>41</v>
      </c>
      <c r="M40" s="3" t="s">
        <v>133</v>
      </c>
      <c r="N40" s="3" t="s">
        <v>43</v>
      </c>
      <c r="O40" s="3" t="s">
        <v>134</v>
      </c>
      <c r="S40" s="3" t="str">
        <f t="shared" si="0"/>
        <v>WITH ZDATA AS
(SELECT NVL(kfc.VALUE,0)-NVL(kfc2.VALUE,0) AS Value, 
'123' AS BusinessObjectKey, 
kfc.CHARACTERISTIC AS Characteristic
FROM ANZ_0650 kfc
JOIN PDP_ANZ_0650 kfc2 ON kfc.BO_KEY = kfc2.BO_KEY AND kfc.CHARACTERISTIC = kfc2.CHARACTERISTIC
) 
SELECT 'VGL_ABS_0650' AS KeyFigureName,
'123456' AS ProcessingRunId, 
'12345' AS WaveId, 
Characteristic, BusinessObjectKey, 
Value AS Value 
FROM ZDATA 
ORDER BY BusinessObjectKey;</v>
      </c>
    </row>
    <row r="41" spans="1:19" x14ac:dyDescent="0.2">
      <c r="A41" s="4">
        <v>650</v>
      </c>
      <c r="B41" s="3">
        <v>2</v>
      </c>
      <c r="C41" s="3" t="s">
        <v>135</v>
      </c>
      <c r="D41" s="3" t="s">
        <v>132</v>
      </c>
      <c r="E41" s="3" t="s">
        <v>21</v>
      </c>
      <c r="F41" s="3" t="s">
        <v>54</v>
      </c>
      <c r="G41" s="3" t="s">
        <v>40</v>
      </c>
      <c r="I41" s="3" t="s">
        <v>41</v>
      </c>
      <c r="M41" s="3" t="s">
        <v>133</v>
      </c>
      <c r="N41" s="3" t="s">
        <v>43</v>
      </c>
      <c r="O41" s="3" t="s">
        <v>134</v>
      </c>
      <c r="P41" s="3" t="s">
        <v>55</v>
      </c>
      <c r="S41" s="3" t="str">
        <f t="shared" si="0"/>
        <v>WITH ZDATA AS
(SELECT TRUNC((NVL(kfc.VALUE,0)-NVL(kfc2.VALUE,0)) / kfc2.VALUE,10) AS Value, 
'123' AS BusinessObjectKey, 
kfc.CHARACTERISTIC AS Characteristic
FROM ANZ_0650 kfc
JOIN PDP_ANZ_0650 kfc2 ON kfc.BO_KEY = kfc2.BO_KEY AND kfc.CHARACTERISTIC = kfc2.CHARACTERISTIC
WHERE kfc2.VALUE &lt;&gt; 0 AND kfc2.VALUE IS NOT NULL
) 
SELECT 'VGL_REL_0650' AS KeyFigureName,
'123456' AS ProcessingRunId, 
'12345' AS WaveId, 
Characteristic, BusinessObjectKey, 
Value AS Value 
FROM ZDATA 
ORDER BY BusinessObjectKey;</v>
      </c>
    </row>
    <row r="42" spans="1:19" x14ac:dyDescent="0.2">
      <c r="A42" s="4">
        <v>651</v>
      </c>
      <c r="B42" s="3">
        <v>1</v>
      </c>
      <c r="C42" s="3" t="s">
        <v>136</v>
      </c>
      <c r="D42" s="3" t="s">
        <v>137</v>
      </c>
      <c r="E42" s="3" t="s">
        <v>21</v>
      </c>
      <c r="F42" s="3" t="s">
        <v>138</v>
      </c>
      <c r="H42" s="3" t="s">
        <v>23</v>
      </c>
      <c r="I42" s="3" t="s">
        <v>21</v>
      </c>
      <c r="J42" s="3" t="s">
        <v>139</v>
      </c>
      <c r="K42" s="3" t="s">
        <v>140</v>
      </c>
      <c r="L42" s="3" t="s">
        <v>26</v>
      </c>
      <c r="M42" s="3" t="s">
        <v>27</v>
      </c>
      <c r="N42" s="3" t="s">
        <v>28</v>
      </c>
      <c r="O42" s="3" t="s">
        <v>141</v>
      </c>
      <c r="P42" s="3" t="s">
        <v>142</v>
      </c>
      <c r="S42" s="3" t="str">
        <f t="shared" si="0"/>
        <v>WITH ZDATA AS
(SELECT drg.ECW AS Value, 
'123' AS BusinessObjectKey, 
CASE WHEN adm.UV_TARIF = 1 THEN 'TARIFF_SWISSDRG'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3" spans="1:19" x14ac:dyDescent="0.2">
      <c r="A43" s="4">
        <v>651</v>
      </c>
      <c r="B43" s="3">
        <v>1</v>
      </c>
      <c r="C43" s="3" t="s">
        <v>136</v>
      </c>
      <c r="D43" s="3" t="s">
        <v>137</v>
      </c>
      <c r="E43" s="3" t="s">
        <v>21</v>
      </c>
      <c r="F43" s="3" t="s">
        <v>138</v>
      </c>
      <c r="H43" s="3" t="s">
        <v>23</v>
      </c>
      <c r="I43" s="3" t="s">
        <v>21</v>
      </c>
      <c r="J43" s="3" t="s">
        <v>143</v>
      </c>
      <c r="K43" s="3" t="s">
        <v>144</v>
      </c>
      <c r="L43" s="3" t="s">
        <v>26</v>
      </c>
      <c r="M43" s="3" t="s">
        <v>27</v>
      </c>
      <c r="N43" s="3" t="s">
        <v>28</v>
      </c>
      <c r="O43" s="3" t="s">
        <v>141</v>
      </c>
      <c r="P43" s="3" t="s">
        <v>142</v>
      </c>
      <c r="S43" s="3" t="str">
        <f t="shared" si="0"/>
        <v>WITH ZDATA AS
(SELECT drg.ECW AS Value, 
'123' AS BusinessObjectKey, 
CASE WHEN adm.UV_TARIF = 5 THEN 'TARIFF_TARPSY'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4" spans="1:19" x14ac:dyDescent="0.2">
      <c r="A44" s="4">
        <v>651</v>
      </c>
      <c r="B44" s="3">
        <v>1</v>
      </c>
      <c r="C44" s="3" t="s">
        <v>136</v>
      </c>
      <c r="D44" s="3" t="s">
        <v>137</v>
      </c>
      <c r="E44" s="3" t="s">
        <v>21</v>
      </c>
      <c r="F44" s="3" t="s">
        <v>138</v>
      </c>
      <c r="H44" s="3" t="s">
        <v>23</v>
      </c>
      <c r="I44" s="3" t="s">
        <v>21</v>
      </c>
      <c r="J44" s="3" t="s">
        <v>145</v>
      </c>
      <c r="K44" s="3" t="s">
        <v>146</v>
      </c>
      <c r="L44" s="3" t="s">
        <v>26</v>
      </c>
      <c r="M44" s="3" t="s">
        <v>27</v>
      </c>
      <c r="N44" s="3" t="s">
        <v>28</v>
      </c>
      <c r="O44" s="3" t="s">
        <v>141</v>
      </c>
      <c r="P44" s="3" t="s">
        <v>142</v>
      </c>
      <c r="S44" s="3" t="str">
        <f t="shared" si="0"/>
        <v>WITH ZDATA AS
(SELECT drg.ECW AS Value, 
'123' AS BusinessObjectKey, 
CASE WHEN adm.UV_TARIF = 3 THEN 'TARIFF_STREHA'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5" spans="1:19" x14ac:dyDescent="0.2">
      <c r="A45" s="4">
        <v>651</v>
      </c>
      <c r="B45" s="3">
        <v>1</v>
      </c>
      <c r="C45" s="3" t="s">
        <v>147</v>
      </c>
      <c r="D45" s="3" t="s">
        <v>137</v>
      </c>
      <c r="E45" s="3" t="s">
        <v>21</v>
      </c>
      <c r="F45" s="3" t="s">
        <v>138</v>
      </c>
      <c r="H45" s="3" t="s">
        <v>61</v>
      </c>
      <c r="I45" s="3" t="s">
        <v>21</v>
      </c>
      <c r="J45" s="3" t="s">
        <v>139</v>
      </c>
      <c r="K45" s="3" t="s">
        <v>140</v>
      </c>
      <c r="L45" s="3" t="s">
        <v>26</v>
      </c>
      <c r="M45" s="3" t="s">
        <v>27</v>
      </c>
      <c r="N45" s="3" t="s">
        <v>28</v>
      </c>
      <c r="O45" s="3" t="s">
        <v>141</v>
      </c>
      <c r="P45" s="3" t="s">
        <v>142</v>
      </c>
      <c r="S45" s="3" t="str">
        <f t="shared" si="0"/>
        <v>WITH ZDATA AS
(SELECT drg.ECW AS Value, 
'123' AS BusinessObjectKey, 
CASE WHEN adm.UV_TARIF = 1 THEN 'TARIFF_SWISSDRG' ELSE 'OTHER' 
END AS Characteristic
FROM ADMINISTRATIVES adm
JOIN GROUPER_DRG drg ON adm.FALL_KEY = drg.KEY
WHERE drg.ECW IS NOT NULL
) 
SELECT 'SUM_0651_CMI' AS KeyFigureName,
'123456' AS ProcessingRunId, 
'12345' AS WaveId, 
Characteristic, BusinessObjectKey, 
SUM(Value) AS Value 
FROM ZDATA 
GROUP BY Characteristic, BusinessObjectKey
ORDER BY BusinessObjectKey;</v>
      </c>
    </row>
    <row r="46" spans="1:19" x14ac:dyDescent="0.2">
      <c r="A46" s="4">
        <v>651</v>
      </c>
      <c r="B46" s="3">
        <v>1</v>
      </c>
      <c r="C46" s="3" t="s">
        <v>148</v>
      </c>
      <c r="D46" s="3" t="s">
        <v>137</v>
      </c>
      <c r="E46" s="3" t="s">
        <v>21</v>
      </c>
      <c r="F46" s="3" t="s">
        <v>149</v>
      </c>
      <c r="H46" s="3" t="s">
        <v>61</v>
      </c>
      <c r="I46" s="3" t="s">
        <v>21</v>
      </c>
      <c r="J46" s="3" t="s">
        <v>143</v>
      </c>
      <c r="K46" s="3" t="s">
        <v>144</v>
      </c>
      <c r="L46" s="3" t="s">
        <v>26</v>
      </c>
      <c r="M46" s="3" t="s">
        <v>27</v>
      </c>
      <c r="N46" s="3" t="s">
        <v>28</v>
      </c>
      <c r="O46" s="3" t="s">
        <v>141</v>
      </c>
      <c r="P46" s="3" t="s">
        <v>142</v>
      </c>
      <c r="S46" s="3" t="str">
        <f t="shared" si="0"/>
        <v>WITH ZDATA AS
(SELECT TRUNC(NVL(drg.ECW,0) / NVL(drg.LOS,0),10) AS Value, 
'123' AS BusinessObjectKey, 
CASE WHEN adm.UV_TARIF = 5 THEN 'TARIFF_TARPSY' ELSE 'OTHER' 
END AS Characteristic
FROM ADMINISTRATIVES adm
JOIN GROUPER_DRG drg ON adm.FALL_KEY = drg.KEY
WHERE drg.ECW IS NOT NULL
) 
SELECT 'SUM_0651_DMI' AS KeyFigureName,
'123456' AS ProcessingRunId, 
'12345' AS WaveId, 
Characteristic, BusinessObjectKey, 
SUM(Value) AS Value 
FROM ZDATA 
GROUP BY Characteristic, BusinessObjectKey
ORDER BY BusinessObjectKey;</v>
      </c>
    </row>
    <row r="47" spans="1:19" x14ac:dyDescent="0.2">
      <c r="A47" s="4">
        <v>651</v>
      </c>
      <c r="B47" s="3">
        <v>1</v>
      </c>
      <c r="C47" s="3" t="s">
        <v>148</v>
      </c>
      <c r="D47" s="3" t="s">
        <v>137</v>
      </c>
      <c r="E47" s="3" t="s">
        <v>21</v>
      </c>
      <c r="F47" s="3" t="s">
        <v>149</v>
      </c>
      <c r="H47" s="3" t="s">
        <v>61</v>
      </c>
      <c r="I47" s="3" t="s">
        <v>21</v>
      </c>
      <c r="J47" s="3" t="s">
        <v>145</v>
      </c>
      <c r="K47" s="3" t="s">
        <v>146</v>
      </c>
      <c r="L47" s="3" t="s">
        <v>26</v>
      </c>
      <c r="M47" s="3" t="s">
        <v>27</v>
      </c>
      <c r="N47" s="3" t="s">
        <v>28</v>
      </c>
      <c r="O47" s="3" t="s">
        <v>141</v>
      </c>
      <c r="P47" s="3" t="s">
        <v>142</v>
      </c>
      <c r="S47" s="3" t="str">
        <f t="shared" si="0"/>
        <v>WITH ZDATA AS
(SELECT TRUNC(NVL(drg.ECW,0) / NVL(drg.LOS,0),10) AS Value, 
'123' AS BusinessObjectKey, 
CASE WHEN adm.UV_TARIF = 3 THEN 'TARIFF_STREHA' ELSE 'OTHER' 
END AS Characteristic
FROM ADMINISTRATIVES adm
JOIN GROUPER_DRG drg ON adm.FALL_KEY = drg.KEY
WHERE drg.ECW IS NOT NULL
) 
SELECT 'SUM_0651_DMI' AS KeyFigureName,
'123456' AS ProcessingRunId, 
'12345' AS WaveId, 
Characteristic, BusinessObjectKey, 
SUM(Value) AS Value 
FROM ZDATA 
GROUP BY Characteristic, BusinessObjectKey
ORDER BY BusinessObjectKey;</v>
      </c>
    </row>
    <row r="48" spans="1:19" x14ac:dyDescent="0.2">
      <c r="A48" s="4">
        <v>651</v>
      </c>
      <c r="B48" s="3">
        <v>2</v>
      </c>
      <c r="C48" s="3" t="s">
        <v>150</v>
      </c>
      <c r="D48" s="3" t="s">
        <v>151</v>
      </c>
      <c r="E48" s="3" t="s">
        <v>21</v>
      </c>
      <c r="F48" s="3" t="s">
        <v>101</v>
      </c>
      <c r="G48" s="3" t="s">
        <v>40</v>
      </c>
      <c r="I48" s="3" t="s">
        <v>41</v>
      </c>
      <c r="M48" s="3" t="s">
        <v>152</v>
      </c>
      <c r="N48" s="3" t="s">
        <v>43</v>
      </c>
      <c r="O48" s="3" t="s">
        <v>153</v>
      </c>
      <c r="P48" s="3" t="s">
        <v>55</v>
      </c>
      <c r="S48" s="3" t="str">
        <f t="shared" si="0"/>
        <v>WITH ZDATA AS
(SELECT TRUNC(NVL(kfc.VALUE,0) / NVL(kfc2.VALUE,0),10) AS Value, 
'123' AS BusinessObjectKey, 
kfc.CHARACTERISTIC AS Characteristic
FROM SUM_0651_CMI kfc
JOIN ANZ_0651 kfc2 ON kfc.BO_KEY = kfc2.BO_KEY AND kfc.CHARACTERISTIC = kfc2.CHARACTERISTIC
WHERE kfc2.VALUE &lt;&gt; 0 AND kfc2.VALUE IS NOT NULL
) 
SELECT 'CMI_0651' AS KeyFigureName,
'123456' AS ProcessingRunId, 
'12345' AS WaveId, 
Characteristic, BusinessObjectKey, 
Value AS Value 
FROM ZDATA 
ORDER BY BusinessObjectKey;</v>
      </c>
    </row>
    <row r="49" spans="1:19" x14ac:dyDescent="0.2">
      <c r="A49" s="4">
        <v>651</v>
      </c>
      <c r="B49" s="3">
        <v>2</v>
      </c>
      <c r="C49" s="3" t="s">
        <v>154</v>
      </c>
      <c r="D49" s="3" t="s">
        <v>155</v>
      </c>
      <c r="E49" s="3" t="s">
        <v>21</v>
      </c>
      <c r="F49" s="3" t="s">
        <v>101</v>
      </c>
      <c r="G49" s="3" t="s">
        <v>40</v>
      </c>
      <c r="I49" s="3" t="s">
        <v>41</v>
      </c>
      <c r="M49" s="3" t="s">
        <v>156</v>
      </c>
      <c r="N49" s="3" t="s">
        <v>43</v>
      </c>
      <c r="O49" s="3" t="s">
        <v>153</v>
      </c>
      <c r="P49" s="3" t="s">
        <v>55</v>
      </c>
      <c r="S49" s="3" t="str">
        <f t="shared" si="0"/>
        <v>WITH ZDATA AS
(SELECT TRUNC(NVL(kfc.VALUE,0) / NVL(kfc2.VALUE,0),10) AS Value, 
'123' AS BusinessObjectKey, 
kfc.CHARACTERISTIC AS Characteristic
FROM SUM_0651_DMI kfc
JOIN ANZ_0651 kfc2 ON kfc.BO_KEY = kfc2.BO_KEY AND kfc.CHARACTERISTIC = kfc2.CHARACTERISTIC
WHERE kfc2.VALUE &lt;&gt; 0 AND kfc2.VALUE IS NOT NULL
) 
SELECT 'DMI_0651' AS KeyFigureName,
'123456' AS ProcessingRunId, 
'12345' AS WaveId, 
Characteristic, BusinessObjectKey, 
Value AS Value 
FROM ZDATA 
ORDER BY BusinessObjectKey;</v>
      </c>
    </row>
    <row r="50" spans="1:19" x14ac:dyDescent="0.2">
      <c r="A50" s="4">
        <v>651</v>
      </c>
      <c r="B50" s="3">
        <v>3</v>
      </c>
      <c r="C50" s="3" t="s">
        <v>157</v>
      </c>
      <c r="D50" s="3" t="s">
        <v>158</v>
      </c>
      <c r="E50" s="3" t="s">
        <v>21</v>
      </c>
      <c r="F50" s="3" t="s">
        <v>39</v>
      </c>
      <c r="G50" s="3" t="s">
        <v>40</v>
      </c>
      <c r="I50" s="3" t="s">
        <v>41</v>
      </c>
      <c r="M50" s="3" t="s">
        <v>159</v>
      </c>
      <c r="N50" s="3" t="s">
        <v>43</v>
      </c>
      <c r="O50" s="3" t="s">
        <v>160</v>
      </c>
      <c r="S50" s="3" t="str">
        <f t="shared" si="0"/>
        <v>WITH ZDATA AS
(SELECT NVL(kfc.VALUE,0)-NVL(kfc2.VALUE,0) AS Value, 
'123' AS BusinessObjectKey, 
kfc.CHARACTERISTIC AS Characteristic
FROM CMI_0651 kfc
JOIN PDP_CMI_0651 kfc2 ON kfc.BO_KEY = kfc2.BO_KEY AND kfc.CHARACTERISTIC = kfc2.CHARACTERISTIC
) 
SELECT 'VGL_ABS_0651_CMI' AS KeyFigureName,
'123456' AS ProcessingRunId, 
'12345' AS WaveId, 
Characteristic, BusinessObjectKey, 
Value AS Value 
FROM ZDATA 
ORDER BY BusinessObjectKey;</v>
      </c>
    </row>
    <row r="51" spans="1:19" x14ac:dyDescent="0.2">
      <c r="A51" s="4">
        <v>651</v>
      </c>
      <c r="B51" s="3">
        <v>3</v>
      </c>
      <c r="C51" s="3" t="s">
        <v>161</v>
      </c>
      <c r="D51" s="3" t="s">
        <v>162</v>
      </c>
      <c r="E51" s="3" t="s">
        <v>21</v>
      </c>
      <c r="F51" s="3" t="s">
        <v>39</v>
      </c>
      <c r="G51" s="3" t="s">
        <v>40</v>
      </c>
      <c r="I51" s="3" t="s">
        <v>41</v>
      </c>
      <c r="M51" s="3" t="s">
        <v>163</v>
      </c>
      <c r="N51" s="3" t="s">
        <v>43</v>
      </c>
      <c r="O51" s="3" t="s">
        <v>164</v>
      </c>
      <c r="S51" s="3" t="str">
        <f t="shared" si="0"/>
        <v>WITH ZDATA AS
(SELECT NVL(kfc.VALUE,0)-NVL(kfc2.VALUE,0) AS Value, 
'123' AS BusinessObjectKey, 
kfc.CHARACTERISTIC AS Characteristic
FROM DMI_0651 kfc
JOIN PDP_DMI_0651 kfc2 ON kfc.BO_KEY = kfc2.BO_KEY AND kfc.CHARACTERISTIC = kfc2.CHARACTERISTIC
) 
SELECT 'VGL_ABS_0651_DMI' AS KeyFigureName,
'123456' AS ProcessingRunId, 
'12345' AS WaveId, 
Characteristic, BusinessObjectKey, 
Value AS Value 
FROM ZDATA 
ORDER BY BusinessObjectKey;</v>
      </c>
    </row>
    <row r="52" spans="1:19" x14ac:dyDescent="0.2">
      <c r="A52" s="4">
        <v>651</v>
      </c>
      <c r="B52" s="3">
        <v>3</v>
      </c>
      <c r="C52" s="3" t="s">
        <v>165</v>
      </c>
      <c r="D52" s="3" t="s">
        <v>158</v>
      </c>
      <c r="E52" s="3" t="s">
        <v>21</v>
      </c>
      <c r="F52" s="3" t="s">
        <v>54</v>
      </c>
      <c r="G52" s="3" t="s">
        <v>40</v>
      </c>
      <c r="I52" s="3" t="s">
        <v>41</v>
      </c>
      <c r="M52" s="3" t="s">
        <v>159</v>
      </c>
      <c r="N52" s="3" t="s">
        <v>43</v>
      </c>
      <c r="O52" s="3" t="s">
        <v>160</v>
      </c>
      <c r="P52" s="3" t="s">
        <v>55</v>
      </c>
      <c r="S52" s="3" t="str">
        <f t="shared" si="0"/>
        <v>WITH ZDATA AS
(SELECT TRUNC((NVL(kfc.VALUE,0)-NVL(kfc2.VALUE,0)) / kfc2.VALUE,10) AS Value, 
'123' AS BusinessObjectKey, 
kfc.CHARACTERISTIC AS Characteristic
FROM CMI_0651 kfc
JOIN PDP_CMI_0651 kfc2 ON kfc.BO_KEY = kfc2.BO_KEY AND kfc.CHARACTERISTIC = kfc2.CHARACTERISTIC
WHERE kfc2.VALUE &lt;&gt; 0 AND kfc2.VALUE IS NOT NULL
) 
SELECT 'VGL_REL_0651_CMI' AS KeyFigureName,
'123456' AS ProcessingRunId, 
'12345' AS WaveId, 
Characteristic, BusinessObjectKey, 
Value AS Value 
FROM ZDATA 
ORDER BY BusinessObjectKey;</v>
      </c>
    </row>
    <row r="53" spans="1:19" x14ac:dyDescent="0.2">
      <c r="A53" s="4">
        <v>651</v>
      </c>
      <c r="B53" s="3">
        <v>3</v>
      </c>
      <c r="C53" s="3" t="s">
        <v>166</v>
      </c>
      <c r="D53" s="3" t="s">
        <v>162</v>
      </c>
      <c r="E53" s="3" t="s">
        <v>21</v>
      </c>
      <c r="F53" s="3" t="s">
        <v>54</v>
      </c>
      <c r="G53" s="3" t="s">
        <v>40</v>
      </c>
      <c r="I53" s="3" t="s">
        <v>41</v>
      </c>
      <c r="M53" s="3" t="s">
        <v>163</v>
      </c>
      <c r="N53" s="3" t="s">
        <v>43</v>
      </c>
      <c r="O53" s="3" t="s">
        <v>164</v>
      </c>
      <c r="P53" s="3" t="s">
        <v>55</v>
      </c>
      <c r="S53" s="3" t="str">
        <f t="shared" si="0"/>
        <v>WITH ZDATA AS
(SELECT TRUNC((NVL(kfc.VALUE,0)-NVL(kfc2.VALUE,0)) / kfc2.VALUE,10) AS Value, 
'123' AS BusinessObjectKey, 
kfc.CHARACTERISTIC AS Characteristic
FROM DMI_0651 kfc
JOIN PDP_DMI_0651 kfc2 ON kfc.BO_KEY = kfc2.BO_KEY AND kfc.CHARACTERISTIC = kfc2.CHARACTERISTIC
WHERE kfc2.VALUE &lt;&gt; 0 AND kfc2.VALUE IS NOT NULL
) 
SELECT 'VGL_REL_0651_DMI' AS KeyFigureName,
'123456' AS ProcessingRunId, 
'12345' AS WaveId, 
Characteristic, BusinessObjectKey, 
Value AS Value 
FROM ZDATA 
ORDER BY BusinessObjectKey;</v>
      </c>
    </row>
    <row r="54" spans="1:19" x14ac:dyDescent="0.2">
      <c r="A54" s="4">
        <v>722</v>
      </c>
      <c r="B54" s="3">
        <v>1</v>
      </c>
      <c r="C54" s="3" t="s">
        <v>167</v>
      </c>
      <c r="D54" s="3" t="s">
        <v>89</v>
      </c>
      <c r="E54" s="3" t="s">
        <v>21</v>
      </c>
      <c r="F54" s="3" t="s">
        <v>168</v>
      </c>
      <c r="H54" s="3" t="s">
        <v>23</v>
      </c>
      <c r="I54" s="3" t="s">
        <v>21</v>
      </c>
      <c r="J54" s="3" t="s">
        <v>169</v>
      </c>
      <c r="K54" s="3" t="s">
        <v>92</v>
      </c>
      <c r="L54" s="3" t="s">
        <v>26</v>
      </c>
      <c r="M54" s="3" t="s">
        <v>27</v>
      </c>
      <c r="N54" s="3" t="s">
        <v>28</v>
      </c>
      <c r="P54" s="3" t="s">
        <v>126</v>
      </c>
      <c r="S54" s="3" t="str">
        <f t="shared" si="0"/>
        <v>WITH ZDATA AS
(SELECT adm.UV_ABC_FALL AS Value, 
'123' AS BusinessObjectKey, 
CASE WHEN adm.UV_ABC_FALL= 'A' THEN 'ABC_FALL_A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5" spans="1:19" x14ac:dyDescent="0.2">
      <c r="A55" s="4">
        <v>722</v>
      </c>
      <c r="B55" s="3">
        <v>1</v>
      </c>
      <c r="C55" s="3" t="s">
        <v>167</v>
      </c>
      <c r="D55" s="3" t="s">
        <v>89</v>
      </c>
      <c r="E55" s="3" t="s">
        <v>21</v>
      </c>
      <c r="F55" s="3" t="s">
        <v>168</v>
      </c>
      <c r="H55" s="3" t="s">
        <v>23</v>
      </c>
      <c r="I55" s="3" t="s">
        <v>21</v>
      </c>
      <c r="J55" s="3" t="s">
        <v>170</v>
      </c>
      <c r="K55" s="3" t="s">
        <v>171</v>
      </c>
      <c r="L55" s="3" t="s">
        <v>26</v>
      </c>
      <c r="M55" s="3" t="s">
        <v>27</v>
      </c>
      <c r="N55" s="3" t="s">
        <v>28</v>
      </c>
      <c r="P55" s="3" t="s">
        <v>126</v>
      </c>
      <c r="S55" s="3" t="str">
        <f t="shared" si="0"/>
        <v>WITH ZDATA AS
(SELECT adm.UV_ABC_FALL AS Value, 
'123' AS BusinessObjectKey, 
CASE WHEN adm.UV_ABC_FALL= 'B' THEN 'ABC_FALL_B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6" spans="1:19" x14ac:dyDescent="0.2">
      <c r="A56" s="4">
        <v>722</v>
      </c>
      <c r="B56" s="3">
        <v>1</v>
      </c>
      <c r="C56" s="3" t="s">
        <v>167</v>
      </c>
      <c r="D56" s="3" t="s">
        <v>89</v>
      </c>
      <c r="E56" s="3" t="s">
        <v>21</v>
      </c>
      <c r="F56" s="3" t="s">
        <v>168</v>
      </c>
      <c r="H56" s="3" t="s">
        <v>23</v>
      </c>
      <c r="I56" s="3" t="s">
        <v>21</v>
      </c>
      <c r="J56" s="3" t="s">
        <v>172</v>
      </c>
      <c r="K56" s="3" t="s">
        <v>173</v>
      </c>
      <c r="L56" s="3" t="s">
        <v>26</v>
      </c>
      <c r="M56" s="3" t="s">
        <v>27</v>
      </c>
      <c r="N56" s="3" t="s">
        <v>28</v>
      </c>
      <c r="P56" s="3" t="s">
        <v>126</v>
      </c>
      <c r="S56" s="3" t="str">
        <f t="shared" si="0"/>
        <v>WITH ZDATA AS
(SELECT adm.UV_ABC_FALL AS Value, 
'123' AS BusinessObjectKey, 
CASE WHEN adm.UV_ABC_FALL= 'C' THEN 'ABC_FALL_C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7" spans="1:19" x14ac:dyDescent="0.2">
      <c r="A57" s="4">
        <v>722</v>
      </c>
      <c r="B57" s="3">
        <v>1</v>
      </c>
      <c r="C57" s="3" t="s">
        <v>174</v>
      </c>
      <c r="D57" s="3" t="s">
        <v>89</v>
      </c>
      <c r="E57" s="3" t="s">
        <v>21</v>
      </c>
      <c r="F57" s="3" t="s">
        <v>168</v>
      </c>
      <c r="H57" s="3" t="s">
        <v>23</v>
      </c>
      <c r="I57" s="3" t="s">
        <v>21</v>
      </c>
      <c r="J57" s="3" t="s">
        <v>169</v>
      </c>
      <c r="K57" s="3" t="s">
        <v>92</v>
      </c>
      <c r="L57" s="3" t="s">
        <v>26</v>
      </c>
      <c r="M57" s="3" t="s">
        <v>27</v>
      </c>
      <c r="N57" s="3" t="s">
        <v>28</v>
      </c>
      <c r="P57" s="3" t="s">
        <v>128</v>
      </c>
      <c r="S57" s="3" t="str">
        <f t="shared" si="0"/>
        <v>WITH ZDATA AS
(SELECT adm.UV_ABC_FALL AS Value, 
'123' AS BusinessObjectKey, 
CASE WHEN adm.UV_ABC_FALL= 'A' THEN 'ABC_FALL_A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58" spans="1:19" x14ac:dyDescent="0.2">
      <c r="A58" s="4">
        <v>722</v>
      </c>
      <c r="B58" s="3">
        <v>1</v>
      </c>
      <c r="C58" s="3" t="s">
        <v>174</v>
      </c>
      <c r="D58" s="3" t="s">
        <v>89</v>
      </c>
      <c r="E58" s="3" t="s">
        <v>21</v>
      </c>
      <c r="F58" s="3" t="s">
        <v>168</v>
      </c>
      <c r="H58" s="3" t="s">
        <v>23</v>
      </c>
      <c r="I58" s="3" t="s">
        <v>21</v>
      </c>
      <c r="J58" s="3" t="s">
        <v>170</v>
      </c>
      <c r="K58" s="3" t="s">
        <v>171</v>
      </c>
      <c r="L58" s="3" t="s">
        <v>26</v>
      </c>
      <c r="M58" s="3" t="s">
        <v>27</v>
      </c>
      <c r="N58" s="3" t="s">
        <v>28</v>
      </c>
      <c r="P58" s="3" t="s">
        <v>128</v>
      </c>
      <c r="S58" s="3" t="str">
        <f t="shared" si="0"/>
        <v>WITH ZDATA AS
(SELECT adm.UV_ABC_FALL AS Value, 
'123' AS BusinessObjectKey, 
CASE WHEN adm.UV_ABC_FALL= 'B' THEN 'ABC_FALL_B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59" spans="1:19" x14ac:dyDescent="0.2">
      <c r="A59" s="4">
        <v>722</v>
      </c>
      <c r="B59" s="3">
        <v>1</v>
      </c>
      <c r="C59" s="3" t="s">
        <v>174</v>
      </c>
      <c r="D59" s="3" t="s">
        <v>89</v>
      </c>
      <c r="E59" s="3" t="s">
        <v>21</v>
      </c>
      <c r="F59" s="3" t="s">
        <v>168</v>
      </c>
      <c r="H59" s="3" t="s">
        <v>23</v>
      </c>
      <c r="I59" s="3" t="s">
        <v>21</v>
      </c>
      <c r="J59" s="3" t="s">
        <v>172</v>
      </c>
      <c r="K59" s="3" t="s">
        <v>173</v>
      </c>
      <c r="L59" s="3" t="s">
        <v>26</v>
      </c>
      <c r="M59" s="3" t="s">
        <v>27</v>
      </c>
      <c r="N59" s="3" t="s">
        <v>28</v>
      </c>
      <c r="P59" s="3" t="s">
        <v>128</v>
      </c>
      <c r="S59" s="3" t="str">
        <f t="shared" si="0"/>
        <v>WITH ZDATA AS
(SELECT adm.UV_ABC_FALL AS Value, 
'123' AS BusinessObjectKey, 
CASE WHEN adm.UV_ABC_FALL= 'C' THEN 'ABC_FALL_C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60" spans="1:19" x14ac:dyDescent="0.2">
      <c r="A60" s="4">
        <v>722</v>
      </c>
      <c r="B60" s="3">
        <v>1</v>
      </c>
      <c r="C60" s="3" t="s">
        <v>175</v>
      </c>
      <c r="D60" s="3" t="s">
        <v>89</v>
      </c>
      <c r="E60" s="3" t="s">
        <v>21</v>
      </c>
      <c r="F60" s="3" t="s">
        <v>168</v>
      </c>
      <c r="H60" s="3" t="s">
        <v>23</v>
      </c>
      <c r="I60" s="3" t="s">
        <v>21</v>
      </c>
      <c r="J60" s="3" t="s">
        <v>169</v>
      </c>
      <c r="K60" s="3" t="s">
        <v>92</v>
      </c>
      <c r="L60" s="3" t="s">
        <v>26</v>
      </c>
      <c r="M60" s="3" t="s">
        <v>27</v>
      </c>
      <c r="N60" s="3" t="s">
        <v>28</v>
      </c>
      <c r="P60" s="3" t="s">
        <v>130</v>
      </c>
      <c r="S60" s="3" t="str">
        <f t="shared" si="0"/>
        <v>WITH ZDATA AS
(SELECT adm.UV_ABC_FALL AS Value, 
'123' AS BusinessObjectKey, 
CASE WHEN adm.UV_ABC_FALL= 'A' THEN 'ABC_FALL_A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1" spans="1:19" x14ac:dyDescent="0.2">
      <c r="A61" s="4">
        <v>722</v>
      </c>
      <c r="B61" s="3">
        <v>1</v>
      </c>
      <c r="C61" s="3" t="s">
        <v>175</v>
      </c>
      <c r="D61" s="3" t="s">
        <v>89</v>
      </c>
      <c r="E61" s="3" t="s">
        <v>21</v>
      </c>
      <c r="F61" s="3" t="s">
        <v>168</v>
      </c>
      <c r="H61" s="3" t="s">
        <v>23</v>
      </c>
      <c r="I61" s="3" t="s">
        <v>21</v>
      </c>
      <c r="J61" s="3" t="s">
        <v>170</v>
      </c>
      <c r="K61" s="3" t="s">
        <v>171</v>
      </c>
      <c r="L61" s="3" t="s">
        <v>26</v>
      </c>
      <c r="M61" s="3" t="s">
        <v>27</v>
      </c>
      <c r="N61" s="3" t="s">
        <v>28</v>
      </c>
      <c r="P61" s="3" t="s">
        <v>130</v>
      </c>
      <c r="S61" s="3" t="str">
        <f t="shared" si="0"/>
        <v>WITH ZDATA AS
(SELECT adm.UV_ABC_FALL AS Value, 
'123' AS BusinessObjectKey, 
CASE WHEN adm.UV_ABC_FALL= 'B' THEN 'ABC_FALL_B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2" spans="1:19" x14ac:dyDescent="0.2">
      <c r="A62" s="4">
        <v>722</v>
      </c>
      <c r="B62" s="3">
        <v>1</v>
      </c>
      <c r="C62" s="3" t="s">
        <v>175</v>
      </c>
      <c r="D62" s="3" t="s">
        <v>89</v>
      </c>
      <c r="E62" s="3" t="s">
        <v>21</v>
      </c>
      <c r="F62" s="3" t="s">
        <v>168</v>
      </c>
      <c r="H62" s="3" t="s">
        <v>23</v>
      </c>
      <c r="I62" s="3" t="s">
        <v>21</v>
      </c>
      <c r="J62" s="3" t="s">
        <v>172</v>
      </c>
      <c r="K62" s="3" t="s">
        <v>173</v>
      </c>
      <c r="L62" s="3" t="s">
        <v>26</v>
      </c>
      <c r="M62" s="3" t="s">
        <v>27</v>
      </c>
      <c r="N62" s="3" t="s">
        <v>28</v>
      </c>
      <c r="P62" s="3" t="s">
        <v>130</v>
      </c>
      <c r="S62" s="3" t="str">
        <f t="shared" si="0"/>
        <v>WITH ZDATA AS
(SELECT adm.UV_ABC_FALL AS Value, 
'123' AS BusinessObjectKey, 
CASE WHEN adm.UV_ABC_FALL= 'C' THEN 'ABC_FALL_C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3" spans="1:19" x14ac:dyDescent="0.2">
      <c r="A63" s="4">
        <v>722</v>
      </c>
      <c r="B63" s="3">
        <v>2</v>
      </c>
      <c r="C63" s="3" t="s">
        <v>176</v>
      </c>
      <c r="D63" s="3" t="s">
        <v>177</v>
      </c>
      <c r="E63" s="3" t="s">
        <v>21</v>
      </c>
      <c r="F63" s="3" t="s">
        <v>39</v>
      </c>
      <c r="G63" s="3" t="s">
        <v>40</v>
      </c>
      <c r="I63" s="3" t="s">
        <v>41</v>
      </c>
      <c r="M63" s="3" t="s">
        <v>178</v>
      </c>
      <c r="N63" s="3" t="s">
        <v>43</v>
      </c>
      <c r="O63" s="3" t="s">
        <v>179</v>
      </c>
      <c r="S63" s="3" t="str">
        <f t="shared" si="0"/>
        <v>WITH ZDATA AS
(SELECT NVL(kfc.VALUE,0)-NVL(kfc2.VALUE,0) AS Value, 
'123' AS BusinessObjectKey, 
kfc.CHARACTERISTIC AS Characteristic
FROM ANZ_0722_AKUT kfc
JOIN PDP_ANZ_0722_AKUT kfc2 ON kfc.BO_KEY = kfc2.BO_KEY AND kfc.CHARACTERISTIC = kfc2.CHARACTERISTIC
) 
SELECT 'VGL_ABS_0722_AKUT' AS KeyFigureName,
'123456' AS ProcessingRunId, 
'12345' AS WaveId, 
Characteristic, BusinessObjectKey, 
Value AS Value 
FROM ZDATA 
ORDER BY BusinessObjectKey;</v>
      </c>
    </row>
    <row r="64" spans="1:19" x14ac:dyDescent="0.2">
      <c r="A64" s="4">
        <v>722</v>
      </c>
      <c r="B64" s="3">
        <v>2</v>
      </c>
      <c r="C64" s="3" t="s">
        <v>180</v>
      </c>
      <c r="D64" s="3" t="s">
        <v>181</v>
      </c>
      <c r="E64" s="3" t="s">
        <v>21</v>
      </c>
      <c r="F64" s="3" t="s">
        <v>39</v>
      </c>
      <c r="G64" s="3" t="s">
        <v>40</v>
      </c>
      <c r="I64" s="3" t="s">
        <v>41</v>
      </c>
      <c r="M64" s="3" t="s">
        <v>182</v>
      </c>
      <c r="N64" s="3" t="s">
        <v>43</v>
      </c>
      <c r="O64" s="3" t="s">
        <v>183</v>
      </c>
      <c r="S64" s="3" t="str">
        <f t="shared" si="0"/>
        <v>WITH ZDATA AS
(SELECT NVL(kfc.VALUE,0)-NVL(kfc2.VALUE,0) AS Value, 
'123' AS BusinessObjectKey, 
kfc.CHARACTERISTIC AS Characteristic
FROM ANZ_0722_PSY kfc
JOIN PDP_ANZ_0722_PSY kfc2 ON kfc.BO_KEY = kfc2.BO_KEY AND kfc.CHARACTERISTIC = kfc2.CHARACTERISTIC
) 
SELECT 'VGL_ABS_0722_PSY' AS KeyFigureName,
'123456' AS ProcessingRunId, 
'12345' AS WaveId, 
Characteristic, BusinessObjectKey, 
Value AS Value 
FROM ZDATA 
ORDER BY BusinessObjectKey;</v>
      </c>
    </row>
    <row r="65" spans="1:19" x14ac:dyDescent="0.2">
      <c r="A65" s="4">
        <v>722</v>
      </c>
      <c r="B65" s="3">
        <v>2</v>
      </c>
      <c r="C65" s="3" t="s">
        <v>184</v>
      </c>
      <c r="D65" s="3" t="s">
        <v>185</v>
      </c>
      <c r="E65" s="3" t="s">
        <v>21</v>
      </c>
      <c r="F65" s="3" t="s">
        <v>39</v>
      </c>
      <c r="G65" s="3" t="s">
        <v>40</v>
      </c>
      <c r="I65" s="3" t="s">
        <v>41</v>
      </c>
      <c r="M65" s="3" t="s">
        <v>186</v>
      </c>
      <c r="N65" s="3" t="s">
        <v>43</v>
      </c>
      <c r="O65" s="3" t="s">
        <v>187</v>
      </c>
      <c r="S65" s="3" t="str">
        <f t="shared" si="0"/>
        <v>WITH ZDATA AS
(SELECT NVL(kfc.VALUE,0)-NVL(kfc2.VALUE,0) AS Value, 
'123' AS BusinessObjectKey, 
kfc.CHARACTERISTIC AS Characteristic
FROM ANZ_0722_REHA kfc
JOIN PDP_ANZ_0722_REHA kfc2 ON kfc.BO_KEY = kfc2.BO_KEY AND kfc.CHARACTERISTIC = kfc2.CHARACTERISTIC
) 
SELECT 'VGL_ABS_0722_REHA' AS KeyFigureName,
'123456' AS ProcessingRunId, 
'12345' AS WaveId, 
Characteristic, BusinessObjectKey, 
Value AS Value 
FROM ZDATA 
ORDER BY BusinessObjectKey;</v>
      </c>
    </row>
    <row r="66" spans="1:19" x14ac:dyDescent="0.2">
      <c r="A66" s="4">
        <v>722</v>
      </c>
      <c r="B66" s="3">
        <v>2</v>
      </c>
      <c r="C66" s="3" t="s">
        <v>188</v>
      </c>
      <c r="D66" s="3" t="s">
        <v>177</v>
      </c>
      <c r="E66" s="3" t="s">
        <v>21</v>
      </c>
      <c r="F66" s="3" t="s">
        <v>54</v>
      </c>
      <c r="G66" s="3" t="s">
        <v>40</v>
      </c>
      <c r="I66" s="3" t="s">
        <v>41</v>
      </c>
      <c r="M66" s="3" t="s">
        <v>178</v>
      </c>
      <c r="N66" s="3" t="s">
        <v>43</v>
      </c>
      <c r="O66" s="3" t="s">
        <v>179</v>
      </c>
      <c r="P66" s="3" t="s">
        <v>55</v>
      </c>
      <c r="S66" s="3" t="str">
        <f t="shared" ref="S66:S129" si="1">IF(F66="","","WITH ZDATA AS
(SELECT "&amp;F66&amp;" AS Value, 
'123' AS BusinessObjectKey, 
"&amp;IF(I66="False","CASE WHEN "&amp;K66&amp;" THEN '"&amp;J66&amp;"' ELSE '"&amp;L66&amp;"' 
END AS Characteristic",G66)&amp;"
FROM "&amp;M66&amp;"
"&amp;O66&amp;"
"&amp;IF(P66="","", "WHERE "&amp;P66)&amp;"
"&amp;IF(Q66="","", "GROUP BY "&amp;Q66)&amp;"
"&amp;IF(R66="","", "HAVING "&amp;R66)&amp;"
) 
SELECT '"&amp;C66&amp;"' AS KeyFigureName,
'123456' AS ProcessingRunId, 
'12345' AS WaveId, 
Characteristic, BusinessObjectKey, 
"&amp;IF(H66="","Value",H66)&amp;" AS Value 
FROM ZDATA 
"&amp;IF(I66="False","GROUP BY Characteristic, BusinessObjectKey","")&amp;"
ORDER BY BusinessObjectKey;")</f>
        <v>WITH ZDATA AS
(SELECT TRUNC((NVL(kfc.VALUE,0)-NVL(kfc2.VALUE,0)) / kfc2.VALUE,10) AS Value, 
'123' AS BusinessObjectKey, 
kfc.CHARACTERISTIC AS Characteristic
FROM ANZ_0722_AKUT kfc
JOIN PDP_ANZ_0722_AKUT kfc2 ON kfc.BO_KEY = kfc2.BO_KEY AND kfc.CHARACTERISTIC = kfc2.CHARACTERISTIC
WHERE kfc2.VALUE &lt;&gt; 0 AND kfc2.VALUE IS NOT NULL
) 
SELECT 'VGL_REL_0722_AKUT' AS KeyFigureName,
'123456' AS ProcessingRunId, 
'12345' AS WaveId, 
Characteristic, BusinessObjectKey, 
Value AS Value 
FROM ZDATA 
ORDER BY BusinessObjectKey;</v>
      </c>
    </row>
    <row r="67" spans="1:19" x14ac:dyDescent="0.2">
      <c r="A67" s="4">
        <v>722</v>
      </c>
      <c r="B67" s="3">
        <v>2</v>
      </c>
      <c r="C67" s="3" t="s">
        <v>189</v>
      </c>
      <c r="D67" s="3" t="s">
        <v>181</v>
      </c>
      <c r="E67" s="3" t="s">
        <v>21</v>
      </c>
      <c r="F67" s="3" t="s">
        <v>54</v>
      </c>
      <c r="G67" s="3" t="s">
        <v>40</v>
      </c>
      <c r="I67" s="3" t="s">
        <v>41</v>
      </c>
      <c r="M67" s="3" t="s">
        <v>182</v>
      </c>
      <c r="N67" s="3" t="s">
        <v>43</v>
      </c>
      <c r="O67" s="3" t="s">
        <v>183</v>
      </c>
      <c r="P67" s="3" t="s">
        <v>55</v>
      </c>
      <c r="S67" s="3" t="str">
        <f t="shared" si="1"/>
        <v>WITH ZDATA AS
(SELECT TRUNC((NVL(kfc.VALUE,0)-NVL(kfc2.VALUE,0)) / kfc2.VALUE,10) AS Value, 
'123' AS BusinessObjectKey, 
kfc.CHARACTERISTIC AS Characteristic
FROM ANZ_0722_PSY kfc
JOIN PDP_ANZ_0722_PSY kfc2 ON kfc.BO_KEY = kfc2.BO_KEY AND kfc.CHARACTERISTIC = kfc2.CHARACTERISTIC
WHERE kfc2.VALUE &lt;&gt; 0 AND kfc2.VALUE IS NOT NULL
) 
SELECT 'VGL_REL_0722_PSY' AS KeyFigureName,
'123456' AS ProcessingRunId, 
'12345' AS WaveId, 
Characteristic, BusinessObjectKey, 
Value AS Value 
FROM ZDATA 
ORDER BY BusinessObjectKey;</v>
      </c>
    </row>
    <row r="68" spans="1:19" x14ac:dyDescent="0.2">
      <c r="A68" s="4">
        <v>722</v>
      </c>
      <c r="B68" s="3">
        <v>2</v>
      </c>
      <c r="C68" s="3" t="s">
        <v>190</v>
      </c>
      <c r="D68" s="3" t="s">
        <v>185</v>
      </c>
      <c r="E68" s="3" t="s">
        <v>21</v>
      </c>
      <c r="F68" s="3" t="s">
        <v>54</v>
      </c>
      <c r="G68" s="3" t="s">
        <v>40</v>
      </c>
      <c r="I68" s="3" t="s">
        <v>41</v>
      </c>
      <c r="M68" s="3" t="s">
        <v>186</v>
      </c>
      <c r="N68" s="3" t="s">
        <v>43</v>
      </c>
      <c r="O68" s="3" t="s">
        <v>187</v>
      </c>
      <c r="P68" s="3" t="s">
        <v>55</v>
      </c>
      <c r="S68" s="3" t="str">
        <f t="shared" si="1"/>
        <v>WITH ZDATA AS
(SELECT TRUNC((NVL(kfc.VALUE,0)-NVL(kfc2.VALUE,0)) / kfc2.VALUE,10) AS Value, 
'123' AS BusinessObjectKey, 
kfc.CHARACTERISTIC AS Characteristic
FROM ANZ_0722_REHA kfc
JOIN PDP_ANZ_0722_REHA kfc2 ON kfc.BO_KEY = kfc2.BO_KEY AND kfc.CHARACTERISTIC = kfc2.CHARACTERISTIC
WHERE kfc2.VALUE &lt;&gt; 0 AND kfc2.VALUE IS NOT NULL
) 
SELECT 'VGL_REL_0722_REHA' AS KeyFigureName,
'123456' AS ProcessingRunId, 
'12345' AS WaveId, 
Characteristic, BusinessObjectKey, 
Value AS Value 
FROM ZDATA 
ORDER BY BusinessObjectKey;</v>
      </c>
    </row>
    <row r="69" spans="1:19" x14ac:dyDescent="0.2">
      <c r="A69" s="4">
        <v>724</v>
      </c>
      <c r="B69" s="3">
        <v>1</v>
      </c>
      <c r="C69" s="3" t="s">
        <v>191</v>
      </c>
      <c r="D69" s="3" t="s">
        <v>89</v>
      </c>
      <c r="E69" s="3" t="s">
        <v>21</v>
      </c>
      <c r="F69" s="3" t="s">
        <v>192</v>
      </c>
      <c r="H69" s="3" t="s">
        <v>23</v>
      </c>
      <c r="I69" s="3" t="s">
        <v>21</v>
      </c>
      <c r="J69" s="3" t="s">
        <v>91</v>
      </c>
      <c r="K69" s="3" t="s">
        <v>25</v>
      </c>
      <c r="L69" s="3" t="s">
        <v>26</v>
      </c>
      <c r="M69" s="3" t="s">
        <v>27</v>
      </c>
      <c r="N69" s="3" t="s">
        <v>28</v>
      </c>
      <c r="P69" s="3" t="s">
        <v>126</v>
      </c>
      <c r="S69" s="3" t="str">
        <f t="shared" si="1"/>
        <v>WITH ZDATA AS
(SELECT adm.UV_TARIF AS Value, 
'123' AS BusinessObjectKey, 
CASE WHEN adm.UV_TARIF=1 THEN 'TARIF_1' ELSE 'OTHER' 
END AS Characteristic
FROM ADMINISTRATIVES adm
WHERE adm.UV_TARIF IN (1,2)
) 
SELECT 'ANZ_0724_AKUT' AS KeyFigureName,
'123456' AS ProcessingRunId, 
'12345' AS WaveId, 
Characteristic, BusinessObjectKey, 
COUNT(*) AS Value 
FROM ZDATA 
GROUP BY Characteristic, BusinessObjectKey
ORDER BY BusinessObjectKey;</v>
      </c>
    </row>
    <row r="70" spans="1:19" x14ac:dyDescent="0.2">
      <c r="A70" s="4">
        <v>724</v>
      </c>
      <c r="B70" s="3">
        <v>1</v>
      </c>
      <c r="C70" s="3" t="s">
        <v>191</v>
      </c>
      <c r="D70" s="3" t="s">
        <v>89</v>
      </c>
      <c r="E70" s="3" t="s">
        <v>21</v>
      </c>
      <c r="F70" s="3" t="s">
        <v>192</v>
      </c>
      <c r="H70" s="3" t="s">
        <v>23</v>
      </c>
      <c r="I70" s="3" t="s">
        <v>21</v>
      </c>
      <c r="J70" s="3" t="s">
        <v>193</v>
      </c>
      <c r="K70" s="3" t="s">
        <v>194</v>
      </c>
      <c r="L70" s="3" t="s">
        <v>26</v>
      </c>
      <c r="M70" s="3" t="s">
        <v>27</v>
      </c>
      <c r="N70" s="3" t="s">
        <v>28</v>
      </c>
      <c r="P70" s="3" t="s">
        <v>126</v>
      </c>
      <c r="S70" s="3" t="str">
        <f t="shared" si="1"/>
        <v>WITH ZDATA AS
(SELECT adm.UV_TARIF AS Value, 
'123' AS BusinessObjectKey, 
CASE WHEN adm.UV_TARIF=2 THEN 'TARIF_2' ELSE 'OTHER' 
END AS Characteristic
FROM ADMINISTRATIVES adm
WHERE adm.UV_TARIF IN (1,2)
) 
SELECT 'ANZ_0724_AKUT' AS KeyFigureName,
'123456' AS ProcessingRunId, 
'12345' AS WaveId, 
Characteristic, BusinessObjectKey, 
COUNT(*) AS Value 
FROM ZDATA 
GROUP BY Characteristic, BusinessObjectKey
ORDER BY BusinessObjectKey;</v>
      </c>
    </row>
    <row r="71" spans="1:19" x14ac:dyDescent="0.2">
      <c r="A71" s="4">
        <v>724</v>
      </c>
      <c r="B71" s="3">
        <v>1</v>
      </c>
      <c r="C71" s="3" t="s">
        <v>195</v>
      </c>
      <c r="D71" s="3" t="s">
        <v>89</v>
      </c>
      <c r="E71" s="3" t="s">
        <v>21</v>
      </c>
      <c r="F71" s="3" t="s">
        <v>192</v>
      </c>
      <c r="H71" s="3" t="s">
        <v>23</v>
      </c>
      <c r="I71" s="3" t="s">
        <v>21</v>
      </c>
      <c r="J71" s="3" t="s">
        <v>93</v>
      </c>
      <c r="K71" s="3" t="s">
        <v>32</v>
      </c>
      <c r="L71" s="3" t="s">
        <v>26</v>
      </c>
      <c r="M71" s="3" t="s">
        <v>27</v>
      </c>
      <c r="N71" s="3" t="s">
        <v>28</v>
      </c>
      <c r="P71" s="3" t="s">
        <v>128</v>
      </c>
      <c r="S71" s="3" t="str">
        <f t="shared" si="1"/>
        <v>WITH ZDATA AS
(SELECT adm.UV_TARIF AS Value, 
'123' AS BusinessObjectKey, 
CASE WHEN adm.UV_TARIF=5 THEN 'TARIF_5' ELSE 'OTHER' 
END AS Characteristic
FROM ADMINISTRATIVES adm
WHERE adm.UV_TARIF IN (5,6)
) 
SELECT 'ANZ_0724_PSY' AS KeyFigureName,
'123456' AS ProcessingRunId, 
'12345' AS WaveId, 
Characteristic, BusinessObjectKey, 
COUNT(*) AS Value 
FROM ZDATA 
GROUP BY Characteristic, BusinessObjectKey
ORDER BY BusinessObjectKey;</v>
      </c>
    </row>
    <row r="72" spans="1:19" x14ac:dyDescent="0.2">
      <c r="A72" s="4">
        <v>724</v>
      </c>
      <c r="B72" s="3">
        <v>1</v>
      </c>
      <c r="C72" s="3" t="s">
        <v>195</v>
      </c>
      <c r="D72" s="3" t="s">
        <v>89</v>
      </c>
      <c r="E72" s="3" t="s">
        <v>21</v>
      </c>
      <c r="F72" s="3" t="s">
        <v>192</v>
      </c>
      <c r="H72" s="3" t="s">
        <v>23</v>
      </c>
      <c r="I72" s="3" t="s">
        <v>21</v>
      </c>
      <c r="J72" s="3" t="s">
        <v>196</v>
      </c>
      <c r="K72" s="3" t="s">
        <v>197</v>
      </c>
      <c r="L72" s="3" t="s">
        <v>26</v>
      </c>
      <c r="M72" s="3" t="s">
        <v>27</v>
      </c>
      <c r="N72" s="3" t="s">
        <v>28</v>
      </c>
      <c r="P72" s="3" t="s">
        <v>128</v>
      </c>
      <c r="S72" s="3" t="str">
        <f t="shared" si="1"/>
        <v>WITH ZDATA AS
(SELECT adm.UV_TARIF AS Value, 
'123' AS BusinessObjectKey, 
CASE WHEN adm.UV_TARIF=6 THEN 'TARIF_6' ELSE 'OTHER' 
END AS Characteristic
FROM ADMINISTRATIVES adm
WHERE adm.UV_TARIF IN (5,6)
) 
SELECT 'ANZ_0724_PSY' AS KeyFigureName,
'123456' AS ProcessingRunId, 
'12345' AS WaveId, 
Characteristic, BusinessObjectKey, 
COUNT(*) AS Value 
FROM ZDATA 
GROUP BY Characteristic, BusinessObjectKey
ORDER BY BusinessObjectKey;</v>
      </c>
    </row>
    <row r="73" spans="1:19" x14ac:dyDescent="0.2">
      <c r="A73" s="4">
        <v>724</v>
      </c>
      <c r="B73" s="3">
        <v>1</v>
      </c>
      <c r="C73" s="3" t="s">
        <v>198</v>
      </c>
      <c r="D73" s="3" t="s">
        <v>89</v>
      </c>
      <c r="E73" s="3" t="s">
        <v>21</v>
      </c>
      <c r="F73" s="3" t="s">
        <v>192</v>
      </c>
      <c r="H73" s="3" t="s">
        <v>23</v>
      </c>
      <c r="I73" s="3" t="s">
        <v>21</v>
      </c>
      <c r="J73" s="3" t="s">
        <v>94</v>
      </c>
      <c r="K73" s="3" t="s">
        <v>35</v>
      </c>
      <c r="L73" s="3" t="s">
        <v>26</v>
      </c>
      <c r="M73" s="3" t="s">
        <v>27</v>
      </c>
      <c r="N73" s="3" t="s">
        <v>28</v>
      </c>
      <c r="P73" s="3" t="s">
        <v>130</v>
      </c>
      <c r="S73" s="3" t="str">
        <f t="shared" si="1"/>
        <v>WITH ZDATA AS
(SELECT adm.UV_TARIF AS Value, 
'123' AS BusinessObjectKey, 
CASE WHEN adm.UV_TARIF=3 THEN 'TARIF_3' ELSE 'OTHER' 
END AS Characteristic
FROM ADMINISTRATIVES adm
WHERE adm.UV_TARIF IN (3,4)
) 
SELECT 'ANZ_0724_REHA' AS KeyFigureName,
'123456' AS ProcessingRunId, 
'12345' AS WaveId, 
Characteristic, BusinessObjectKey, 
COUNT(*) AS Value 
FROM ZDATA 
GROUP BY Characteristic, BusinessObjectKey
ORDER BY BusinessObjectKey;</v>
      </c>
    </row>
    <row r="74" spans="1:19" x14ac:dyDescent="0.2">
      <c r="A74" s="4">
        <v>724</v>
      </c>
      <c r="B74" s="3">
        <v>1</v>
      </c>
      <c r="C74" s="3" t="s">
        <v>198</v>
      </c>
      <c r="D74" s="3" t="s">
        <v>89</v>
      </c>
      <c r="E74" s="3" t="s">
        <v>21</v>
      </c>
      <c r="F74" s="3" t="s">
        <v>192</v>
      </c>
      <c r="H74" s="3" t="s">
        <v>23</v>
      </c>
      <c r="I74" s="3" t="s">
        <v>21</v>
      </c>
      <c r="J74" s="3" t="s">
        <v>199</v>
      </c>
      <c r="K74" s="3" t="s">
        <v>200</v>
      </c>
      <c r="L74" s="3" t="s">
        <v>26</v>
      </c>
      <c r="M74" s="3" t="s">
        <v>27</v>
      </c>
      <c r="N74" s="3" t="s">
        <v>28</v>
      </c>
      <c r="P74" s="3" t="s">
        <v>130</v>
      </c>
      <c r="S74" s="3" t="str">
        <f t="shared" si="1"/>
        <v>WITH ZDATA AS
(SELECT adm.UV_TARIF AS Value, 
'123' AS BusinessObjectKey, 
CASE WHEN adm.UV_TARIF=4 THEN 'TARIF_4' ELSE 'OTHER' 
END AS Characteristic
FROM ADMINISTRATIVES adm
WHERE adm.UV_TARIF IN (3,4)
) 
SELECT 'ANZ_0724_REHA' AS KeyFigureName,
'123456' AS ProcessingRunId, 
'12345' AS WaveId, 
Characteristic, BusinessObjectKey, 
COUNT(*) AS Value 
FROM ZDATA 
GROUP BY Characteristic, BusinessObjectKey
ORDER BY BusinessObjectKey;</v>
      </c>
    </row>
    <row r="75" spans="1:19" x14ac:dyDescent="0.2">
      <c r="A75" s="4">
        <v>724</v>
      </c>
      <c r="B75" s="3">
        <v>2</v>
      </c>
      <c r="C75" s="3" t="s">
        <v>201</v>
      </c>
      <c r="D75" s="3" t="s">
        <v>202</v>
      </c>
      <c r="E75" s="3" t="s">
        <v>21</v>
      </c>
      <c r="F75" s="3" t="s">
        <v>39</v>
      </c>
      <c r="G75" s="3" t="s">
        <v>40</v>
      </c>
      <c r="I75" s="3" t="s">
        <v>41</v>
      </c>
      <c r="M75" s="3" t="s">
        <v>203</v>
      </c>
      <c r="N75" s="3" t="s">
        <v>43</v>
      </c>
      <c r="O75" s="3" t="s">
        <v>204</v>
      </c>
      <c r="S75" s="3" t="str">
        <f t="shared" si="1"/>
        <v>WITH ZDATA AS
(SELECT NVL(kfc.VALUE,0)-NVL(kfc2.VALUE,0) AS Value, 
'123' AS BusinessObjectKey, 
kfc.CHARACTERISTIC AS Characteristic
FROM ANZ_0724_AKUT kfc
JOIN PDP_ANZ_0724_AKUT kfc2 ON kfc.BO_KEY = kfc2.BO_KEY AND kfc.CHARACTERISTIC = kfc2.CHARACTERISTIC
) 
SELECT 'VGL_ABS_0724_AKUT' AS KeyFigureName,
'123456' AS ProcessingRunId, 
'12345' AS WaveId, 
Characteristic, BusinessObjectKey, 
Value AS Value 
FROM ZDATA 
ORDER BY BusinessObjectKey;</v>
      </c>
    </row>
    <row r="76" spans="1:19" x14ac:dyDescent="0.2">
      <c r="A76" s="4">
        <v>724</v>
      </c>
      <c r="B76" s="3">
        <v>2</v>
      </c>
      <c r="C76" s="3" t="s">
        <v>205</v>
      </c>
      <c r="D76" s="3" t="s">
        <v>206</v>
      </c>
      <c r="E76" s="3" t="s">
        <v>21</v>
      </c>
      <c r="F76" s="3" t="s">
        <v>39</v>
      </c>
      <c r="G76" s="3" t="s">
        <v>40</v>
      </c>
      <c r="I76" s="3" t="s">
        <v>41</v>
      </c>
      <c r="M76" s="3" t="s">
        <v>207</v>
      </c>
      <c r="N76" s="3" t="s">
        <v>43</v>
      </c>
      <c r="O76" s="3" t="s">
        <v>208</v>
      </c>
      <c r="S76" s="3" t="str">
        <f t="shared" si="1"/>
        <v>WITH ZDATA AS
(SELECT NVL(kfc.VALUE,0)-NVL(kfc2.VALUE,0) AS Value, 
'123' AS BusinessObjectKey, 
kfc.CHARACTERISTIC AS Characteristic
FROM ANZ_0724_PSY kfc
JOIN PDP_ANZ_0724_PSY kfc2 ON kfc.BO_KEY = kfc2.BO_KEY AND kfc.CHARACTERISTIC = kfc2.CHARACTERISTIC
) 
SELECT 'VGL_ABS_0724_PSY' AS KeyFigureName,
'123456' AS ProcessingRunId, 
'12345' AS WaveId, 
Characteristic, BusinessObjectKey, 
Value AS Value 
FROM ZDATA 
ORDER BY BusinessObjectKey;</v>
      </c>
    </row>
    <row r="77" spans="1:19" x14ac:dyDescent="0.2">
      <c r="A77" s="4">
        <v>724</v>
      </c>
      <c r="B77" s="3">
        <v>2</v>
      </c>
      <c r="C77" s="3" t="s">
        <v>209</v>
      </c>
      <c r="D77" s="3" t="s">
        <v>210</v>
      </c>
      <c r="E77" s="3" t="s">
        <v>21</v>
      </c>
      <c r="F77" s="3" t="s">
        <v>39</v>
      </c>
      <c r="G77" s="3" t="s">
        <v>40</v>
      </c>
      <c r="I77" s="3" t="s">
        <v>41</v>
      </c>
      <c r="M77" s="3" t="s">
        <v>211</v>
      </c>
      <c r="N77" s="3" t="s">
        <v>43</v>
      </c>
      <c r="O77" s="3" t="s">
        <v>212</v>
      </c>
      <c r="S77" s="3" t="str">
        <f t="shared" si="1"/>
        <v>WITH ZDATA AS
(SELECT NVL(kfc.VALUE,0)-NVL(kfc2.VALUE,0) AS Value, 
'123' AS BusinessObjectKey, 
kfc.CHARACTERISTIC AS Characteristic
FROM ANZ_0724_REHA kfc
JOIN PDP_ANZ_0724_REHA kfc2 ON kfc.BO_KEY = kfc2.BO_KEY AND kfc.CHARACTERISTIC = kfc2.CHARACTERISTIC
) 
SELECT 'VGL_ABS_0724_REHA' AS KeyFigureName,
'123456' AS ProcessingRunId, 
'12345' AS WaveId, 
Characteristic, BusinessObjectKey, 
Value AS Value 
FROM ZDATA 
ORDER BY BusinessObjectKey;</v>
      </c>
    </row>
    <row r="78" spans="1:19" x14ac:dyDescent="0.2">
      <c r="A78" s="4">
        <v>724</v>
      </c>
      <c r="B78" s="3">
        <v>2</v>
      </c>
      <c r="C78" s="3" t="s">
        <v>213</v>
      </c>
      <c r="D78" s="3" t="s">
        <v>202</v>
      </c>
      <c r="E78" s="3" t="s">
        <v>21</v>
      </c>
      <c r="F78" s="3" t="s">
        <v>54</v>
      </c>
      <c r="G78" s="3" t="s">
        <v>40</v>
      </c>
      <c r="I78" s="3" t="s">
        <v>41</v>
      </c>
      <c r="M78" s="3" t="s">
        <v>203</v>
      </c>
      <c r="N78" s="3" t="s">
        <v>43</v>
      </c>
      <c r="O78" s="3" t="s">
        <v>204</v>
      </c>
      <c r="P78" s="3" t="s">
        <v>55</v>
      </c>
      <c r="S78" s="3" t="str">
        <f t="shared" si="1"/>
        <v>WITH ZDATA AS
(SELECT TRUNC((NVL(kfc.VALUE,0)-NVL(kfc2.VALUE,0)) / kfc2.VALUE,10) AS Value, 
'123' AS BusinessObjectKey, 
kfc.CHARACTERISTIC AS Characteristic
FROM ANZ_0724_AKUT kfc
JOIN PDP_ANZ_0724_AKUT kfc2 ON kfc.BO_KEY = kfc2.BO_KEY AND kfc.CHARACTERISTIC = kfc2.CHARACTERISTIC
WHERE kfc2.VALUE &lt;&gt; 0 AND kfc2.VALUE IS NOT NULL
) 
SELECT 'VGL_REL_0724_AKUT' AS KeyFigureName,
'123456' AS ProcessingRunId, 
'12345' AS WaveId, 
Characteristic, BusinessObjectKey, 
Value AS Value 
FROM ZDATA 
ORDER BY BusinessObjectKey;</v>
      </c>
    </row>
    <row r="79" spans="1:19" x14ac:dyDescent="0.2">
      <c r="A79" s="4">
        <v>724</v>
      </c>
      <c r="B79" s="3">
        <v>2</v>
      </c>
      <c r="C79" s="3" t="s">
        <v>214</v>
      </c>
      <c r="D79" s="3" t="s">
        <v>206</v>
      </c>
      <c r="E79" s="3" t="s">
        <v>21</v>
      </c>
      <c r="F79" s="3" t="s">
        <v>54</v>
      </c>
      <c r="G79" s="3" t="s">
        <v>40</v>
      </c>
      <c r="I79" s="3" t="s">
        <v>41</v>
      </c>
      <c r="M79" s="3" t="s">
        <v>207</v>
      </c>
      <c r="N79" s="3" t="s">
        <v>43</v>
      </c>
      <c r="O79" s="3" t="s">
        <v>208</v>
      </c>
      <c r="P79" s="3" t="s">
        <v>55</v>
      </c>
      <c r="S79" s="3" t="str">
        <f t="shared" si="1"/>
        <v>WITH ZDATA AS
(SELECT TRUNC((NVL(kfc.VALUE,0)-NVL(kfc2.VALUE,0)) / kfc2.VALUE,10) AS Value, 
'123' AS BusinessObjectKey, 
kfc.CHARACTERISTIC AS Characteristic
FROM ANZ_0724_PSY kfc
JOIN PDP_ANZ_0724_PSY kfc2 ON kfc.BO_KEY = kfc2.BO_KEY AND kfc.CHARACTERISTIC = kfc2.CHARACTERISTIC
WHERE kfc2.VALUE &lt;&gt; 0 AND kfc2.VALUE IS NOT NULL
) 
SELECT 'VGL_REL_0724_PSY' AS KeyFigureName,
'123456' AS ProcessingRunId, 
'12345' AS WaveId, 
Characteristic, BusinessObjectKey, 
Value AS Value 
FROM ZDATA 
ORDER BY BusinessObjectKey;</v>
      </c>
    </row>
    <row r="80" spans="1:19" x14ac:dyDescent="0.2">
      <c r="A80" s="4">
        <v>724</v>
      </c>
      <c r="B80" s="3">
        <v>2</v>
      </c>
      <c r="C80" s="3" t="s">
        <v>215</v>
      </c>
      <c r="D80" s="3" t="s">
        <v>210</v>
      </c>
      <c r="E80" s="3" t="s">
        <v>21</v>
      </c>
      <c r="F80" s="3" t="s">
        <v>54</v>
      </c>
      <c r="G80" s="3" t="s">
        <v>40</v>
      </c>
      <c r="I80" s="3" t="s">
        <v>41</v>
      </c>
      <c r="M80" s="3" t="s">
        <v>211</v>
      </c>
      <c r="N80" s="3" t="s">
        <v>43</v>
      </c>
      <c r="O80" s="3" t="s">
        <v>212</v>
      </c>
      <c r="P80" s="3" t="s">
        <v>55</v>
      </c>
      <c r="S80" s="3" t="str">
        <f t="shared" si="1"/>
        <v>WITH ZDATA AS
(SELECT TRUNC((NVL(kfc.VALUE,0)-NVL(kfc2.VALUE,0)) / kfc2.VALUE,10) AS Value, 
'123' AS BusinessObjectKey, 
kfc.CHARACTERISTIC AS Characteristic
FROM ANZ_0724_REHA kfc
JOIN PDP_ANZ_0724_REHA kfc2 ON kfc.BO_KEY = kfc2.BO_KEY AND kfc.CHARACTERISTIC = kfc2.CHARACTERISTIC
WHERE kfc2.VALUE &lt;&gt; 0 AND kfc2.VALUE IS NOT NULL
) 
SELECT 'VGL_REL_0724_REHA' AS KeyFigureName,
'123456' AS ProcessingRunId, 
'12345' AS WaveId, 
Characteristic, BusinessObjectKey, 
Value AS Value 
FROM ZDATA 
ORDER BY BusinessObjectKey;</v>
      </c>
    </row>
    <row r="81" spans="1:19" x14ac:dyDescent="0.2">
      <c r="A81" s="4">
        <v>725</v>
      </c>
      <c r="B81" s="3">
        <v>1</v>
      </c>
      <c r="C81" s="3" t="s">
        <v>216</v>
      </c>
      <c r="D81" s="3" t="s">
        <v>89</v>
      </c>
      <c r="E81" s="3" t="s">
        <v>21</v>
      </c>
      <c r="F81" s="3" t="s">
        <v>217</v>
      </c>
      <c r="H81" s="3" t="s">
        <v>23</v>
      </c>
      <c r="I81" s="3" t="s">
        <v>21</v>
      </c>
      <c r="J81" s="3" t="s">
        <v>218</v>
      </c>
      <c r="K81" s="3" t="s">
        <v>219</v>
      </c>
      <c r="L81" s="3" t="s">
        <v>26</v>
      </c>
      <c r="M81" s="3" t="s">
        <v>27</v>
      </c>
      <c r="N81" s="3" t="s">
        <v>28</v>
      </c>
      <c r="P81" s="3" t="s">
        <v>30</v>
      </c>
      <c r="S81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2" spans="1:19" x14ac:dyDescent="0.2">
      <c r="A82" s="4">
        <v>725</v>
      </c>
      <c r="B82" s="3">
        <v>1</v>
      </c>
      <c r="C82" s="3" t="s">
        <v>216</v>
      </c>
      <c r="D82" s="3" t="s">
        <v>89</v>
      </c>
      <c r="E82" s="3" t="s">
        <v>21</v>
      </c>
      <c r="F82" s="3" t="s">
        <v>217</v>
      </c>
      <c r="H82" s="3" t="s">
        <v>23</v>
      </c>
      <c r="I82" s="3" t="s">
        <v>21</v>
      </c>
      <c r="J82" s="3" t="s">
        <v>220</v>
      </c>
      <c r="K82" s="3" t="s">
        <v>221</v>
      </c>
      <c r="L82" s="3" t="s">
        <v>26</v>
      </c>
      <c r="M82" s="3" t="s">
        <v>27</v>
      </c>
      <c r="N82" s="3" t="s">
        <v>28</v>
      </c>
      <c r="P82" s="3" t="s">
        <v>30</v>
      </c>
      <c r="S82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3" spans="1:19" x14ac:dyDescent="0.2">
      <c r="A83" s="4">
        <v>725</v>
      </c>
      <c r="B83" s="3">
        <v>1</v>
      </c>
      <c r="C83" s="3" t="s">
        <v>216</v>
      </c>
      <c r="D83" s="3" t="s">
        <v>89</v>
      </c>
      <c r="E83" s="3" t="s">
        <v>21</v>
      </c>
      <c r="F83" s="3" t="s">
        <v>217</v>
      </c>
      <c r="H83" s="3" t="s">
        <v>23</v>
      </c>
      <c r="I83" s="3" t="s">
        <v>21</v>
      </c>
      <c r="J83" s="3" t="s">
        <v>222</v>
      </c>
      <c r="K83" s="3" t="s">
        <v>223</v>
      </c>
      <c r="L83" s="3" t="s">
        <v>26</v>
      </c>
      <c r="M83" s="3" t="s">
        <v>27</v>
      </c>
      <c r="N83" s="3" t="s">
        <v>28</v>
      </c>
      <c r="P83" s="3" t="s">
        <v>30</v>
      </c>
      <c r="S83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4" spans="1:19" x14ac:dyDescent="0.2">
      <c r="A84" s="4">
        <v>725</v>
      </c>
      <c r="B84" s="3">
        <v>1</v>
      </c>
      <c r="C84" s="3" t="s">
        <v>216</v>
      </c>
      <c r="D84" s="3" t="s">
        <v>89</v>
      </c>
      <c r="E84" s="3" t="s">
        <v>21</v>
      </c>
      <c r="F84" s="3" t="s">
        <v>217</v>
      </c>
      <c r="H84" s="3" t="s">
        <v>23</v>
      </c>
      <c r="I84" s="3" t="s">
        <v>21</v>
      </c>
      <c r="J84" s="3" t="s">
        <v>224</v>
      </c>
      <c r="K84" s="3" t="s">
        <v>225</v>
      </c>
      <c r="L84" s="3" t="s">
        <v>26</v>
      </c>
      <c r="M84" s="3" t="s">
        <v>27</v>
      </c>
      <c r="N84" s="3" t="s">
        <v>28</v>
      </c>
      <c r="P84" s="3" t="s">
        <v>30</v>
      </c>
      <c r="S84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5" spans="1:19" x14ac:dyDescent="0.2">
      <c r="A85" s="4">
        <v>725</v>
      </c>
      <c r="B85" s="3">
        <v>1</v>
      </c>
      <c r="C85" s="3" t="s">
        <v>226</v>
      </c>
      <c r="D85" s="3" t="s">
        <v>89</v>
      </c>
      <c r="E85" s="3" t="s">
        <v>21</v>
      </c>
      <c r="F85" s="3" t="s">
        <v>217</v>
      </c>
      <c r="H85" s="3" t="s">
        <v>23</v>
      </c>
      <c r="I85" s="3" t="s">
        <v>21</v>
      </c>
      <c r="J85" s="3" t="s">
        <v>218</v>
      </c>
      <c r="K85" s="3" t="s">
        <v>219</v>
      </c>
      <c r="L85" s="3" t="s">
        <v>26</v>
      </c>
      <c r="M85" s="3" t="s">
        <v>27</v>
      </c>
      <c r="N85" s="3" t="s">
        <v>28</v>
      </c>
      <c r="P85" s="3" t="s">
        <v>33</v>
      </c>
      <c r="S85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6" spans="1:19" x14ac:dyDescent="0.2">
      <c r="A86" s="4">
        <v>725</v>
      </c>
      <c r="B86" s="3">
        <v>1</v>
      </c>
      <c r="C86" s="3" t="s">
        <v>226</v>
      </c>
      <c r="D86" s="3" t="s">
        <v>89</v>
      </c>
      <c r="E86" s="3" t="s">
        <v>21</v>
      </c>
      <c r="F86" s="3" t="s">
        <v>217</v>
      </c>
      <c r="H86" s="3" t="s">
        <v>23</v>
      </c>
      <c r="I86" s="3" t="s">
        <v>21</v>
      </c>
      <c r="J86" s="3" t="s">
        <v>220</v>
      </c>
      <c r="K86" s="3" t="s">
        <v>221</v>
      </c>
      <c r="L86" s="3" t="s">
        <v>26</v>
      </c>
      <c r="M86" s="3" t="s">
        <v>27</v>
      </c>
      <c r="N86" s="3" t="s">
        <v>28</v>
      </c>
      <c r="P86" s="3" t="s">
        <v>33</v>
      </c>
      <c r="S86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7" spans="1:19" x14ac:dyDescent="0.2">
      <c r="A87" s="4">
        <v>725</v>
      </c>
      <c r="B87" s="3">
        <v>1</v>
      </c>
      <c r="C87" s="3" t="s">
        <v>226</v>
      </c>
      <c r="D87" s="3" t="s">
        <v>89</v>
      </c>
      <c r="E87" s="3" t="s">
        <v>21</v>
      </c>
      <c r="F87" s="3" t="s">
        <v>217</v>
      </c>
      <c r="H87" s="3" t="s">
        <v>23</v>
      </c>
      <c r="I87" s="3" t="s">
        <v>21</v>
      </c>
      <c r="J87" s="3" t="s">
        <v>222</v>
      </c>
      <c r="K87" s="3" t="s">
        <v>223</v>
      </c>
      <c r="L87" s="3" t="s">
        <v>26</v>
      </c>
      <c r="M87" s="3" t="s">
        <v>27</v>
      </c>
      <c r="N87" s="3" t="s">
        <v>28</v>
      </c>
      <c r="P87" s="3" t="s">
        <v>33</v>
      </c>
      <c r="S87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8" spans="1:19" x14ac:dyDescent="0.2">
      <c r="A88" s="4">
        <v>725</v>
      </c>
      <c r="B88" s="3">
        <v>1</v>
      </c>
      <c r="C88" s="3" t="s">
        <v>226</v>
      </c>
      <c r="D88" s="3" t="s">
        <v>89</v>
      </c>
      <c r="E88" s="3" t="s">
        <v>21</v>
      </c>
      <c r="F88" s="3" t="s">
        <v>217</v>
      </c>
      <c r="H88" s="3" t="s">
        <v>23</v>
      </c>
      <c r="I88" s="3" t="s">
        <v>21</v>
      </c>
      <c r="J88" s="3" t="s">
        <v>224</v>
      </c>
      <c r="K88" s="3" t="s">
        <v>225</v>
      </c>
      <c r="L88" s="3" t="s">
        <v>26</v>
      </c>
      <c r="M88" s="3" t="s">
        <v>27</v>
      </c>
      <c r="N88" s="3" t="s">
        <v>28</v>
      </c>
      <c r="P88" s="3" t="s">
        <v>33</v>
      </c>
      <c r="S88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9" spans="1:19" x14ac:dyDescent="0.2">
      <c r="A89" s="4">
        <v>725</v>
      </c>
      <c r="B89" s="3">
        <v>1</v>
      </c>
      <c r="C89" s="3" t="s">
        <v>227</v>
      </c>
      <c r="D89" s="3" t="s">
        <v>89</v>
      </c>
      <c r="E89" s="3" t="s">
        <v>21</v>
      </c>
      <c r="F89" s="3" t="s">
        <v>217</v>
      </c>
      <c r="H89" s="3" t="s">
        <v>23</v>
      </c>
      <c r="I89" s="3" t="s">
        <v>21</v>
      </c>
      <c r="J89" s="3" t="s">
        <v>218</v>
      </c>
      <c r="K89" s="3" t="s">
        <v>219</v>
      </c>
      <c r="L89" s="3" t="s">
        <v>26</v>
      </c>
      <c r="M89" s="3" t="s">
        <v>27</v>
      </c>
      <c r="N89" s="3" t="s">
        <v>28</v>
      </c>
      <c r="P89" s="3" t="s">
        <v>36</v>
      </c>
      <c r="S89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0" spans="1:19" x14ac:dyDescent="0.2">
      <c r="A90" s="4">
        <v>725</v>
      </c>
      <c r="B90" s="3">
        <v>1</v>
      </c>
      <c r="C90" s="3" t="s">
        <v>227</v>
      </c>
      <c r="D90" s="3" t="s">
        <v>89</v>
      </c>
      <c r="E90" s="3" t="s">
        <v>21</v>
      </c>
      <c r="F90" s="3" t="s">
        <v>217</v>
      </c>
      <c r="H90" s="3" t="s">
        <v>23</v>
      </c>
      <c r="I90" s="3" t="s">
        <v>21</v>
      </c>
      <c r="J90" s="3" t="s">
        <v>220</v>
      </c>
      <c r="K90" s="3" t="s">
        <v>221</v>
      </c>
      <c r="L90" s="3" t="s">
        <v>26</v>
      </c>
      <c r="M90" s="3" t="s">
        <v>27</v>
      </c>
      <c r="N90" s="3" t="s">
        <v>28</v>
      </c>
      <c r="P90" s="3" t="s">
        <v>36</v>
      </c>
      <c r="S90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1" spans="1:19" x14ac:dyDescent="0.2">
      <c r="A91" s="4">
        <v>725</v>
      </c>
      <c r="B91" s="3">
        <v>1</v>
      </c>
      <c r="C91" s="3" t="s">
        <v>227</v>
      </c>
      <c r="D91" s="3" t="s">
        <v>89</v>
      </c>
      <c r="E91" s="3" t="s">
        <v>21</v>
      </c>
      <c r="F91" s="3" t="s">
        <v>217</v>
      </c>
      <c r="H91" s="3" t="s">
        <v>23</v>
      </c>
      <c r="I91" s="3" t="s">
        <v>21</v>
      </c>
      <c r="J91" s="3" t="s">
        <v>222</v>
      </c>
      <c r="K91" s="3" t="s">
        <v>223</v>
      </c>
      <c r="L91" s="3" t="s">
        <v>26</v>
      </c>
      <c r="M91" s="3" t="s">
        <v>27</v>
      </c>
      <c r="N91" s="3" t="s">
        <v>28</v>
      </c>
      <c r="P91" s="3" t="s">
        <v>36</v>
      </c>
      <c r="S91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2" spans="1:19" x14ac:dyDescent="0.2">
      <c r="A92" s="4">
        <v>725</v>
      </c>
      <c r="B92" s="3">
        <v>1</v>
      </c>
      <c r="C92" s="3" t="s">
        <v>227</v>
      </c>
      <c r="D92" s="3" t="s">
        <v>89</v>
      </c>
      <c r="E92" s="3" t="s">
        <v>21</v>
      </c>
      <c r="F92" s="3" t="s">
        <v>217</v>
      </c>
      <c r="H92" s="3" t="s">
        <v>23</v>
      </c>
      <c r="I92" s="3" t="s">
        <v>21</v>
      </c>
      <c r="J92" s="3" t="s">
        <v>224</v>
      </c>
      <c r="K92" s="3" t="s">
        <v>225</v>
      </c>
      <c r="L92" s="3" t="s">
        <v>26</v>
      </c>
      <c r="M92" s="3" t="s">
        <v>27</v>
      </c>
      <c r="N92" s="3" t="s">
        <v>28</v>
      </c>
      <c r="P92" s="3" t="s">
        <v>36</v>
      </c>
      <c r="S92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3" spans="1:19" x14ac:dyDescent="0.2">
      <c r="A93" s="4">
        <v>725</v>
      </c>
      <c r="B93" s="3">
        <v>2</v>
      </c>
      <c r="C93" s="3" t="s">
        <v>228</v>
      </c>
      <c r="D93" s="3" t="s">
        <v>229</v>
      </c>
      <c r="E93" s="3" t="s">
        <v>21</v>
      </c>
      <c r="F93" s="3" t="s">
        <v>39</v>
      </c>
      <c r="G93" s="3" t="s">
        <v>40</v>
      </c>
      <c r="I93" s="3" t="s">
        <v>41</v>
      </c>
      <c r="M93" s="3" t="s">
        <v>230</v>
      </c>
      <c r="N93" s="3" t="s">
        <v>43</v>
      </c>
      <c r="O93" s="3" t="s">
        <v>231</v>
      </c>
      <c r="S93" s="3" t="str">
        <f t="shared" si="1"/>
        <v>WITH ZDATA AS
(SELECT NVL(kfc.VALUE,0)-NVL(kfc2.VALUE,0) AS Value, 
'123' AS BusinessObjectKey, 
kfc.CHARACTERISTIC AS Characteristic
FROM ANZ_0725_AKUT kfc
JOIN PDP_ANZ_0725_AKUT kfc2 ON kfc.BO_KEY = kfc2.BO_KEY AND kfc.CHARACTERISTIC = kfc2.CHARACTERISTIC
) 
SELECT 'VGL_ABS_0725_AKUT' AS KeyFigureName,
'123456' AS ProcessingRunId, 
'12345' AS WaveId, 
Characteristic, BusinessObjectKey, 
Value AS Value 
FROM ZDATA 
ORDER BY BusinessObjectKey;</v>
      </c>
    </row>
    <row r="94" spans="1:19" x14ac:dyDescent="0.2">
      <c r="A94" s="4">
        <v>725</v>
      </c>
      <c r="B94" s="3">
        <v>2</v>
      </c>
      <c r="C94" s="3" t="s">
        <v>232</v>
      </c>
      <c r="D94" s="3" t="s">
        <v>233</v>
      </c>
      <c r="E94" s="3" t="s">
        <v>21</v>
      </c>
      <c r="F94" s="3" t="s">
        <v>39</v>
      </c>
      <c r="G94" s="3" t="s">
        <v>40</v>
      </c>
      <c r="I94" s="3" t="s">
        <v>41</v>
      </c>
      <c r="M94" s="3" t="s">
        <v>234</v>
      </c>
      <c r="N94" s="3" t="s">
        <v>43</v>
      </c>
      <c r="O94" s="3" t="s">
        <v>235</v>
      </c>
      <c r="S94" s="3" t="str">
        <f t="shared" si="1"/>
        <v>WITH ZDATA AS
(SELECT NVL(kfc.VALUE,0)-NVL(kfc2.VALUE,0) AS Value, 
'123' AS BusinessObjectKey, 
kfc.CHARACTERISTIC AS Characteristic
FROM ANZ_0725_PSY kfc
JOIN PDP_ANZ_0725_PSY kfc2 ON kfc.BO_KEY = kfc2.BO_KEY AND kfc.CHARACTERISTIC = kfc2.CHARACTERISTIC
) 
SELECT 'VGL_ABS_0725_PSY' AS KeyFigureName,
'123456' AS ProcessingRunId, 
'12345' AS WaveId, 
Characteristic, BusinessObjectKey, 
Value AS Value 
FROM ZDATA 
ORDER BY BusinessObjectKey;</v>
      </c>
    </row>
    <row r="95" spans="1:19" x14ac:dyDescent="0.2">
      <c r="A95" s="4">
        <v>725</v>
      </c>
      <c r="B95" s="3">
        <v>2</v>
      </c>
      <c r="C95" s="3" t="s">
        <v>236</v>
      </c>
      <c r="D95" s="3" t="s">
        <v>237</v>
      </c>
      <c r="E95" s="3" t="s">
        <v>21</v>
      </c>
      <c r="F95" s="3" t="s">
        <v>39</v>
      </c>
      <c r="G95" s="3" t="s">
        <v>40</v>
      </c>
      <c r="I95" s="3" t="s">
        <v>41</v>
      </c>
      <c r="M95" s="3" t="s">
        <v>238</v>
      </c>
      <c r="N95" s="3" t="s">
        <v>43</v>
      </c>
      <c r="O95" s="3" t="s">
        <v>239</v>
      </c>
      <c r="S95" s="3" t="str">
        <f t="shared" si="1"/>
        <v>WITH ZDATA AS
(SELECT NVL(kfc.VALUE,0)-NVL(kfc2.VALUE,0) AS Value, 
'123' AS BusinessObjectKey, 
kfc.CHARACTERISTIC AS Characteristic
FROM ANZ_0725_REHA kfc
JOIN PDP_ANZ_0725_REHA kfc2 ON kfc.BO_KEY = kfc2.BO_KEY AND kfc.CHARACTERISTIC = kfc2.CHARACTERISTIC
) 
SELECT 'VGL_ABS_0725_REHA' AS KeyFigureName,
'123456' AS ProcessingRunId, 
'12345' AS WaveId, 
Characteristic, BusinessObjectKey, 
Value AS Value 
FROM ZDATA 
ORDER BY BusinessObjectKey;</v>
      </c>
    </row>
    <row r="96" spans="1:19" x14ac:dyDescent="0.2">
      <c r="A96" s="4">
        <v>725</v>
      </c>
      <c r="B96" s="3">
        <v>2</v>
      </c>
      <c r="C96" s="3" t="s">
        <v>240</v>
      </c>
      <c r="D96" s="3" t="s">
        <v>229</v>
      </c>
      <c r="E96" s="3" t="s">
        <v>21</v>
      </c>
      <c r="F96" s="3" t="s">
        <v>54</v>
      </c>
      <c r="G96" s="3" t="s">
        <v>40</v>
      </c>
      <c r="I96" s="3" t="s">
        <v>41</v>
      </c>
      <c r="M96" s="3" t="s">
        <v>230</v>
      </c>
      <c r="N96" s="3" t="s">
        <v>43</v>
      </c>
      <c r="O96" s="3" t="s">
        <v>231</v>
      </c>
      <c r="P96" s="3" t="s">
        <v>55</v>
      </c>
      <c r="S96" s="3" t="str">
        <f t="shared" si="1"/>
        <v>WITH ZDATA AS
(SELECT TRUNC((NVL(kfc.VALUE,0)-NVL(kfc2.VALUE,0)) / kfc2.VALUE,10) AS Value, 
'123' AS BusinessObjectKey, 
kfc.CHARACTERISTIC AS Characteristic
FROM ANZ_0725_AKUT kfc
JOIN PDP_ANZ_0725_AKUT kfc2 ON kfc.BO_KEY = kfc2.BO_KEY AND kfc.CHARACTERISTIC = kfc2.CHARACTERISTIC
WHERE kfc2.VALUE &lt;&gt; 0 AND kfc2.VALUE IS NOT NULL
) 
SELECT 'VGL_REL_0725_AKUT' AS KeyFigureName,
'123456' AS ProcessingRunId, 
'12345' AS WaveId, 
Characteristic, BusinessObjectKey, 
Value AS Value 
FROM ZDATA 
ORDER BY BusinessObjectKey;</v>
      </c>
    </row>
    <row r="97" spans="1:19" x14ac:dyDescent="0.2">
      <c r="A97" s="4">
        <v>725</v>
      </c>
      <c r="B97" s="3">
        <v>2</v>
      </c>
      <c r="C97" s="3" t="s">
        <v>241</v>
      </c>
      <c r="D97" s="3" t="s">
        <v>233</v>
      </c>
      <c r="E97" s="3" t="s">
        <v>21</v>
      </c>
      <c r="F97" s="3" t="s">
        <v>54</v>
      </c>
      <c r="G97" s="3" t="s">
        <v>40</v>
      </c>
      <c r="I97" s="3" t="s">
        <v>41</v>
      </c>
      <c r="M97" s="3" t="s">
        <v>234</v>
      </c>
      <c r="N97" s="3" t="s">
        <v>43</v>
      </c>
      <c r="O97" s="3" t="s">
        <v>235</v>
      </c>
      <c r="P97" s="3" t="s">
        <v>55</v>
      </c>
      <c r="S97" s="3" t="str">
        <f t="shared" si="1"/>
        <v>WITH ZDATA AS
(SELECT TRUNC((NVL(kfc.VALUE,0)-NVL(kfc2.VALUE,0)) / kfc2.VALUE,10) AS Value, 
'123' AS BusinessObjectKey, 
kfc.CHARACTERISTIC AS Characteristic
FROM ANZ_0725_PSY kfc
JOIN PDP_ANZ_0725_PSY kfc2 ON kfc.BO_KEY = kfc2.BO_KEY AND kfc.CHARACTERISTIC = kfc2.CHARACTERISTIC
WHERE kfc2.VALUE &lt;&gt; 0 AND kfc2.VALUE IS NOT NULL
) 
SELECT 'VGL_REL_0725_PSY' AS KeyFigureName,
'123456' AS ProcessingRunId, 
'12345' AS WaveId, 
Characteristic, BusinessObjectKey, 
Value AS Value 
FROM ZDATA 
ORDER BY BusinessObjectKey;</v>
      </c>
    </row>
    <row r="98" spans="1:19" x14ac:dyDescent="0.2">
      <c r="A98" s="4">
        <v>725</v>
      </c>
      <c r="B98" s="3">
        <v>2</v>
      </c>
      <c r="C98" s="3" t="s">
        <v>242</v>
      </c>
      <c r="D98" s="3" t="s">
        <v>237</v>
      </c>
      <c r="E98" s="3" t="s">
        <v>21</v>
      </c>
      <c r="F98" s="3" t="s">
        <v>54</v>
      </c>
      <c r="G98" s="3" t="s">
        <v>40</v>
      </c>
      <c r="I98" s="3" t="s">
        <v>41</v>
      </c>
      <c r="M98" s="3" t="s">
        <v>238</v>
      </c>
      <c r="N98" s="3" t="s">
        <v>43</v>
      </c>
      <c r="O98" s="3" t="s">
        <v>239</v>
      </c>
      <c r="P98" s="3" t="s">
        <v>55</v>
      </c>
      <c r="S98" s="3" t="str">
        <f t="shared" si="1"/>
        <v>WITH ZDATA AS
(SELECT TRUNC((NVL(kfc.VALUE,0)-NVL(kfc2.VALUE,0)) / kfc2.VALUE,10) AS Value, 
'123' AS BusinessObjectKey, 
kfc.CHARACTERISTIC AS Characteristic
FROM ANZ_0725_REHA kfc
JOIN PDP_ANZ_0725_REHA kfc2 ON kfc.BO_KEY = kfc2.BO_KEY AND kfc.CHARACTERISTIC = kfc2.CHARACTERISTIC
WHERE kfc2.VALUE &lt;&gt; 0 AND kfc2.VALUE IS NOT NULL
) 
SELECT 'VGL_REL_0725_REHA' AS KeyFigureName,
'123456' AS ProcessingRunId, 
'12345' AS WaveId, 
Characteristic, BusinessObjectKey, 
Value AS Value 
FROM ZDATA 
ORDER BY BusinessObjectKey;</v>
      </c>
    </row>
    <row r="99" spans="1:19" x14ac:dyDescent="0.2">
      <c r="A99" s="4">
        <v>726</v>
      </c>
      <c r="B99" s="3">
        <v>1</v>
      </c>
      <c r="C99" s="3" t="s">
        <v>243</v>
      </c>
      <c r="D99" s="3" t="s">
        <v>89</v>
      </c>
      <c r="E99" s="3" t="s">
        <v>21</v>
      </c>
      <c r="F99" s="3" t="s">
        <v>244</v>
      </c>
      <c r="H99" s="3" t="s">
        <v>23</v>
      </c>
      <c r="I99" s="3" t="s">
        <v>21</v>
      </c>
      <c r="J99" s="3" t="s">
        <v>245</v>
      </c>
      <c r="K99" s="3" t="s">
        <v>246</v>
      </c>
      <c r="L99" s="3" t="s">
        <v>26</v>
      </c>
      <c r="M99" s="3" t="s">
        <v>27</v>
      </c>
      <c r="N99" s="3" t="s">
        <v>28</v>
      </c>
      <c r="P99" s="3" t="s">
        <v>126</v>
      </c>
      <c r="S99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0" spans="1:19" x14ac:dyDescent="0.2">
      <c r="A100" s="4">
        <v>726</v>
      </c>
      <c r="B100" s="3">
        <v>1</v>
      </c>
      <c r="C100" s="3" t="s">
        <v>243</v>
      </c>
      <c r="D100" s="3" t="s">
        <v>89</v>
      </c>
      <c r="E100" s="3" t="s">
        <v>21</v>
      </c>
      <c r="F100" s="3" t="s">
        <v>244</v>
      </c>
      <c r="H100" s="3" t="s">
        <v>23</v>
      </c>
      <c r="I100" s="3" t="s">
        <v>21</v>
      </c>
      <c r="J100" s="3" t="s">
        <v>247</v>
      </c>
      <c r="K100" s="3" t="s">
        <v>248</v>
      </c>
      <c r="L100" s="3" t="s">
        <v>26</v>
      </c>
      <c r="M100" s="3" t="s">
        <v>27</v>
      </c>
      <c r="N100" s="3" t="s">
        <v>28</v>
      </c>
      <c r="P100" s="3" t="s">
        <v>126</v>
      </c>
      <c r="S100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1" spans="1:19" x14ac:dyDescent="0.2">
      <c r="A101" s="4">
        <v>726</v>
      </c>
      <c r="B101" s="3">
        <v>1</v>
      </c>
      <c r="C101" s="3" t="s">
        <v>243</v>
      </c>
      <c r="D101" s="3" t="s">
        <v>89</v>
      </c>
      <c r="E101" s="3" t="s">
        <v>21</v>
      </c>
      <c r="F101" s="3" t="s">
        <v>244</v>
      </c>
      <c r="H101" s="3" t="s">
        <v>23</v>
      </c>
      <c r="I101" s="3" t="s">
        <v>21</v>
      </c>
      <c r="J101" s="3" t="s">
        <v>249</v>
      </c>
      <c r="K101" s="3" t="s">
        <v>250</v>
      </c>
      <c r="L101" s="3" t="s">
        <v>26</v>
      </c>
      <c r="M101" s="3" t="s">
        <v>27</v>
      </c>
      <c r="N101" s="3" t="s">
        <v>28</v>
      </c>
      <c r="P101" s="3" t="s">
        <v>126</v>
      </c>
      <c r="S101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2" spans="1:19" x14ac:dyDescent="0.2">
      <c r="A102" s="4">
        <v>726</v>
      </c>
      <c r="B102" s="3">
        <v>1</v>
      </c>
      <c r="C102" s="3" t="s">
        <v>243</v>
      </c>
      <c r="D102" s="3" t="s">
        <v>89</v>
      </c>
      <c r="E102" s="3" t="s">
        <v>21</v>
      </c>
      <c r="F102" s="3" t="s">
        <v>244</v>
      </c>
      <c r="H102" s="3" t="s">
        <v>23</v>
      </c>
      <c r="I102" s="3" t="s">
        <v>21</v>
      </c>
      <c r="J102" s="3" t="s">
        <v>251</v>
      </c>
      <c r="K102" s="3" t="s">
        <v>252</v>
      </c>
      <c r="L102" s="3" t="s">
        <v>26</v>
      </c>
      <c r="M102" s="3" t="s">
        <v>27</v>
      </c>
      <c r="N102" s="3" t="s">
        <v>28</v>
      </c>
      <c r="P102" s="3" t="s">
        <v>126</v>
      </c>
      <c r="S102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3" spans="1:19" x14ac:dyDescent="0.2">
      <c r="A103" s="4">
        <v>726</v>
      </c>
      <c r="B103" s="3">
        <v>1</v>
      </c>
      <c r="C103" s="3" t="s">
        <v>243</v>
      </c>
      <c r="D103" s="3" t="s">
        <v>89</v>
      </c>
      <c r="E103" s="3" t="s">
        <v>21</v>
      </c>
      <c r="F103" s="3" t="s">
        <v>244</v>
      </c>
      <c r="H103" s="3" t="s">
        <v>23</v>
      </c>
      <c r="I103" s="3" t="s">
        <v>21</v>
      </c>
      <c r="J103" s="3" t="s">
        <v>253</v>
      </c>
      <c r="K103" s="3" t="s">
        <v>254</v>
      </c>
      <c r="L103" s="3" t="s">
        <v>26</v>
      </c>
      <c r="M103" s="3" t="s">
        <v>27</v>
      </c>
      <c r="N103" s="3" t="s">
        <v>28</v>
      </c>
      <c r="P103" s="3" t="s">
        <v>126</v>
      </c>
      <c r="S103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4" spans="1:19" x14ac:dyDescent="0.2">
      <c r="A104" s="4">
        <v>726</v>
      </c>
      <c r="B104" s="3">
        <v>1</v>
      </c>
      <c r="C104" s="3" t="s">
        <v>243</v>
      </c>
      <c r="D104" s="3" t="s">
        <v>89</v>
      </c>
      <c r="E104" s="3" t="s">
        <v>21</v>
      </c>
      <c r="F104" s="3" t="s">
        <v>244</v>
      </c>
      <c r="H104" s="3" t="s">
        <v>23</v>
      </c>
      <c r="I104" s="3" t="s">
        <v>21</v>
      </c>
      <c r="J104" s="3" t="s">
        <v>255</v>
      </c>
      <c r="K104" s="3" t="s">
        <v>256</v>
      </c>
      <c r="L104" s="3" t="s">
        <v>26</v>
      </c>
      <c r="M104" s="3" t="s">
        <v>27</v>
      </c>
      <c r="N104" s="3" t="s">
        <v>28</v>
      </c>
      <c r="P104" s="3" t="s">
        <v>126</v>
      </c>
      <c r="S104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5" spans="1:19" x14ac:dyDescent="0.2">
      <c r="A105" s="4">
        <v>726</v>
      </c>
      <c r="B105" s="3">
        <v>1</v>
      </c>
      <c r="C105" s="3" t="s">
        <v>243</v>
      </c>
      <c r="D105" s="3" t="s">
        <v>89</v>
      </c>
      <c r="E105" s="3" t="s">
        <v>21</v>
      </c>
      <c r="F105" s="3" t="s">
        <v>244</v>
      </c>
      <c r="H105" s="3" t="s">
        <v>23</v>
      </c>
      <c r="I105" s="3" t="s">
        <v>21</v>
      </c>
      <c r="J105" s="3" t="s">
        <v>257</v>
      </c>
      <c r="K105" s="3" t="s">
        <v>258</v>
      </c>
      <c r="L105" s="3" t="s">
        <v>26</v>
      </c>
      <c r="M105" s="3" t="s">
        <v>27</v>
      </c>
      <c r="N105" s="3" t="s">
        <v>28</v>
      </c>
      <c r="P105" s="3" t="s">
        <v>126</v>
      </c>
      <c r="S105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6" spans="1:19" x14ac:dyDescent="0.2">
      <c r="A106" s="4">
        <v>726</v>
      </c>
      <c r="B106" s="3">
        <v>1</v>
      </c>
      <c r="C106" s="3" t="s">
        <v>259</v>
      </c>
      <c r="D106" s="3" t="s">
        <v>89</v>
      </c>
      <c r="E106" s="3" t="s">
        <v>21</v>
      </c>
      <c r="F106" s="3" t="s">
        <v>244</v>
      </c>
      <c r="H106" s="3" t="s">
        <v>23</v>
      </c>
      <c r="I106" s="3" t="s">
        <v>21</v>
      </c>
      <c r="J106" s="3" t="s">
        <v>245</v>
      </c>
      <c r="K106" s="3" t="s">
        <v>246</v>
      </c>
      <c r="L106" s="3" t="s">
        <v>26</v>
      </c>
      <c r="M106" s="3" t="s">
        <v>27</v>
      </c>
      <c r="N106" s="3" t="s">
        <v>28</v>
      </c>
      <c r="P106" s="3" t="s">
        <v>128</v>
      </c>
      <c r="S106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7" spans="1:19" x14ac:dyDescent="0.2">
      <c r="A107" s="4">
        <v>726</v>
      </c>
      <c r="B107" s="3">
        <v>1</v>
      </c>
      <c r="C107" s="3" t="s">
        <v>259</v>
      </c>
      <c r="D107" s="3" t="s">
        <v>89</v>
      </c>
      <c r="E107" s="3" t="s">
        <v>21</v>
      </c>
      <c r="F107" s="3" t="s">
        <v>244</v>
      </c>
      <c r="H107" s="3" t="s">
        <v>23</v>
      </c>
      <c r="I107" s="3" t="s">
        <v>21</v>
      </c>
      <c r="J107" s="3" t="s">
        <v>247</v>
      </c>
      <c r="K107" s="3" t="s">
        <v>248</v>
      </c>
      <c r="L107" s="3" t="s">
        <v>26</v>
      </c>
      <c r="M107" s="3" t="s">
        <v>27</v>
      </c>
      <c r="N107" s="3" t="s">
        <v>28</v>
      </c>
      <c r="P107" s="3" t="s">
        <v>128</v>
      </c>
      <c r="S107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8" spans="1:19" x14ac:dyDescent="0.2">
      <c r="A108" s="4">
        <v>726</v>
      </c>
      <c r="B108" s="3">
        <v>1</v>
      </c>
      <c r="C108" s="3" t="s">
        <v>259</v>
      </c>
      <c r="D108" s="3" t="s">
        <v>89</v>
      </c>
      <c r="E108" s="3" t="s">
        <v>21</v>
      </c>
      <c r="F108" s="3" t="s">
        <v>244</v>
      </c>
      <c r="H108" s="3" t="s">
        <v>23</v>
      </c>
      <c r="I108" s="3" t="s">
        <v>21</v>
      </c>
      <c r="J108" s="3" t="s">
        <v>249</v>
      </c>
      <c r="K108" s="3" t="s">
        <v>250</v>
      </c>
      <c r="L108" s="3" t="s">
        <v>26</v>
      </c>
      <c r="M108" s="3" t="s">
        <v>27</v>
      </c>
      <c r="N108" s="3" t="s">
        <v>28</v>
      </c>
      <c r="P108" s="3" t="s">
        <v>128</v>
      </c>
      <c r="S108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9" spans="1:19" x14ac:dyDescent="0.2">
      <c r="A109" s="4">
        <v>726</v>
      </c>
      <c r="B109" s="3">
        <v>1</v>
      </c>
      <c r="C109" s="3" t="s">
        <v>259</v>
      </c>
      <c r="D109" s="3" t="s">
        <v>89</v>
      </c>
      <c r="E109" s="3" t="s">
        <v>21</v>
      </c>
      <c r="F109" s="3" t="s">
        <v>244</v>
      </c>
      <c r="H109" s="3" t="s">
        <v>23</v>
      </c>
      <c r="I109" s="3" t="s">
        <v>21</v>
      </c>
      <c r="J109" s="3" t="s">
        <v>251</v>
      </c>
      <c r="K109" s="3" t="s">
        <v>252</v>
      </c>
      <c r="L109" s="3" t="s">
        <v>26</v>
      </c>
      <c r="M109" s="3" t="s">
        <v>27</v>
      </c>
      <c r="N109" s="3" t="s">
        <v>28</v>
      </c>
      <c r="P109" s="3" t="s">
        <v>128</v>
      </c>
      <c r="S109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0" spans="1:19" x14ac:dyDescent="0.2">
      <c r="A110" s="4">
        <v>726</v>
      </c>
      <c r="B110" s="3">
        <v>1</v>
      </c>
      <c r="C110" s="3" t="s">
        <v>259</v>
      </c>
      <c r="D110" s="3" t="s">
        <v>89</v>
      </c>
      <c r="E110" s="3" t="s">
        <v>21</v>
      </c>
      <c r="F110" s="3" t="s">
        <v>244</v>
      </c>
      <c r="H110" s="3" t="s">
        <v>23</v>
      </c>
      <c r="I110" s="3" t="s">
        <v>21</v>
      </c>
      <c r="J110" s="3" t="s">
        <v>253</v>
      </c>
      <c r="K110" s="3" t="s">
        <v>254</v>
      </c>
      <c r="L110" s="3" t="s">
        <v>26</v>
      </c>
      <c r="M110" s="3" t="s">
        <v>27</v>
      </c>
      <c r="N110" s="3" t="s">
        <v>28</v>
      </c>
      <c r="P110" s="3" t="s">
        <v>128</v>
      </c>
      <c r="S110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1" spans="1:19" x14ac:dyDescent="0.2">
      <c r="A111" s="4">
        <v>726</v>
      </c>
      <c r="B111" s="3">
        <v>1</v>
      </c>
      <c r="C111" s="3" t="s">
        <v>259</v>
      </c>
      <c r="D111" s="3" t="s">
        <v>89</v>
      </c>
      <c r="E111" s="3" t="s">
        <v>21</v>
      </c>
      <c r="F111" s="3" t="s">
        <v>244</v>
      </c>
      <c r="H111" s="3" t="s">
        <v>23</v>
      </c>
      <c r="I111" s="3" t="s">
        <v>21</v>
      </c>
      <c r="J111" s="3" t="s">
        <v>255</v>
      </c>
      <c r="K111" s="3" t="s">
        <v>256</v>
      </c>
      <c r="L111" s="3" t="s">
        <v>26</v>
      </c>
      <c r="M111" s="3" t="s">
        <v>27</v>
      </c>
      <c r="N111" s="3" t="s">
        <v>28</v>
      </c>
      <c r="P111" s="3" t="s">
        <v>128</v>
      </c>
      <c r="S111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2" spans="1:19" x14ac:dyDescent="0.2">
      <c r="A112" s="4">
        <v>726</v>
      </c>
      <c r="B112" s="3">
        <v>1</v>
      </c>
      <c r="C112" s="3" t="s">
        <v>259</v>
      </c>
      <c r="D112" s="3" t="s">
        <v>89</v>
      </c>
      <c r="E112" s="3" t="s">
        <v>21</v>
      </c>
      <c r="F112" s="3" t="s">
        <v>244</v>
      </c>
      <c r="H112" s="3" t="s">
        <v>23</v>
      </c>
      <c r="I112" s="3" t="s">
        <v>21</v>
      </c>
      <c r="J112" s="3" t="s">
        <v>257</v>
      </c>
      <c r="K112" s="3" t="s">
        <v>258</v>
      </c>
      <c r="L112" s="3" t="s">
        <v>26</v>
      </c>
      <c r="M112" s="3" t="s">
        <v>27</v>
      </c>
      <c r="N112" s="3" t="s">
        <v>28</v>
      </c>
      <c r="P112" s="3" t="s">
        <v>128</v>
      </c>
      <c r="S112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3" spans="1:19" x14ac:dyDescent="0.2">
      <c r="A113" s="4">
        <v>726</v>
      </c>
      <c r="B113" s="3">
        <v>1</v>
      </c>
      <c r="C113" s="3" t="s">
        <v>260</v>
      </c>
      <c r="D113" s="3" t="s">
        <v>89</v>
      </c>
      <c r="E113" s="3" t="s">
        <v>21</v>
      </c>
      <c r="F113" s="3" t="s">
        <v>244</v>
      </c>
      <c r="H113" s="3" t="s">
        <v>23</v>
      </c>
      <c r="I113" s="3" t="s">
        <v>21</v>
      </c>
      <c r="J113" s="3" t="s">
        <v>245</v>
      </c>
      <c r="K113" s="3" t="s">
        <v>246</v>
      </c>
      <c r="L113" s="3" t="s">
        <v>26</v>
      </c>
      <c r="M113" s="3" t="s">
        <v>27</v>
      </c>
      <c r="N113" s="3" t="s">
        <v>28</v>
      </c>
      <c r="P113" s="3" t="s">
        <v>130</v>
      </c>
      <c r="S113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4" spans="1:19" x14ac:dyDescent="0.2">
      <c r="A114" s="4">
        <v>726</v>
      </c>
      <c r="B114" s="3">
        <v>1</v>
      </c>
      <c r="C114" s="3" t="s">
        <v>260</v>
      </c>
      <c r="D114" s="3" t="s">
        <v>89</v>
      </c>
      <c r="E114" s="3" t="s">
        <v>21</v>
      </c>
      <c r="F114" s="3" t="s">
        <v>244</v>
      </c>
      <c r="H114" s="3" t="s">
        <v>23</v>
      </c>
      <c r="I114" s="3" t="s">
        <v>21</v>
      </c>
      <c r="J114" s="3" t="s">
        <v>247</v>
      </c>
      <c r="K114" s="3" t="s">
        <v>248</v>
      </c>
      <c r="L114" s="3" t="s">
        <v>26</v>
      </c>
      <c r="M114" s="3" t="s">
        <v>27</v>
      </c>
      <c r="N114" s="3" t="s">
        <v>28</v>
      </c>
      <c r="P114" s="3" t="s">
        <v>130</v>
      </c>
      <c r="S114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5" spans="1:19" x14ac:dyDescent="0.2">
      <c r="A115" s="4">
        <v>726</v>
      </c>
      <c r="B115" s="3">
        <v>1</v>
      </c>
      <c r="C115" s="3" t="s">
        <v>260</v>
      </c>
      <c r="D115" s="3" t="s">
        <v>89</v>
      </c>
      <c r="E115" s="3" t="s">
        <v>21</v>
      </c>
      <c r="F115" s="3" t="s">
        <v>244</v>
      </c>
      <c r="H115" s="3" t="s">
        <v>23</v>
      </c>
      <c r="I115" s="3" t="s">
        <v>21</v>
      </c>
      <c r="J115" s="3" t="s">
        <v>249</v>
      </c>
      <c r="K115" s="3" t="s">
        <v>250</v>
      </c>
      <c r="L115" s="3" t="s">
        <v>26</v>
      </c>
      <c r="M115" s="3" t="s">
        <v>27</v>
      </c>
      <c r="N115" s="3" t="s">
        <v>28</v>
      </c>
      <c r="P115" s="3" t="s">
        <v>130</v>
      </c>
      <c r="S115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6" spans="1:19" x14ac:dyDescent="0.2">
      <c r="A116" s="4">
        <v>726</v>
      </c>
      <c r="B116" s="3">
        <v>1</v>
      </c>
      <c r="C116" s="3" t="s">
        <v>260</v>
      </c>
      <c r="D116" s="3" t="s">
        <v>89</v>
      </c>
      <c r="E116" s="3" t="s">
        <v>21</v>
      </c>
      <c r="F116" s="3" t="s">
        <v>244</v>
      </c>
      <c r="H116" s="3" t="s">
        <v>23</v>
      </c>
      <c r="I116" s="3" t="s">
        <v>21</v>
      </c>
      <c r="J116" s="3" t="s">
        <v>251</v>
      </c>
      <c r="K116" s="3" t="s">
        <v>252</v>
      </c>
      <c r="L116" s="3" t="s">
        <v>26</v>
      </c>
      <c r="M116" s="3" t="s">
        <v>27</v>
      </c>
      <c r="N116" s="3" t="s">
        <v>28</v>
      </c>
      <c r="P116" s="3" t="s">
        <v>130</v>
      </c>
      <c r="S116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7" spans="1:19" x14ac:dyDescent="0.2">
      <c r="A117" s="4">
        <v>726</v>
      </c>
      <c r="B117" s="3">
        <v>1</v>
      </c>
      <c r="C117" s="3" t="s">
        <v>260</v>
      </c>
      <c r="D117" s="3" t="s">
        <v>89</v>
      </c>
      <c r="E117" s="3" t="s">
        <v>21</v>
      </c>
      <c r="F117" s="3" t="s">
        <v>244</v>
      </c>
      <c r="H117" s="3" t="s">
        <v>23</v>
      </c>
      <c r="I117" s="3" t="s">
        <v>21</v>
      </c>
      <c r="J117" s="3" t="s">
        <v>253</v>
      </c>
      <c r="K117" s="3" t="s">
        <v>254</v>
      </c>
      <c r="L117" s="3" t="s">
        <v>26</v>
      </c>
      <c r="M117" s="3" t="s">
        <v>27</v>
      </c>
      <c r="N117" s="3" t="s">
        <v>28</v>
      </c>
      <c r="P117" s="3" t="s">
        <v>130</v>
      </c>
      <c r="S117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8" spans="1:19" x14ac:dyDescent="0.2">
      <c r="A118" s="4">
        <v>726</v>
      </c>
      <c r="B118" s="3">
        <v>1</v>
      </c>
      <c r="C118" s="3" t="s">
        <v>260</v>
      </c>
      <c r="D118" s="3" t="s">
        <v>89</v>
      </c>
      <c r="E118" s="3" t="s">
        <v>21</v>
      </c>
      <c r="F118" s="3" t="s">
        <v>244</v>
      </c>
      <c r="H118" s="3" t="s">
        <v>23</v>
      </c>
      <c r="I118" s="3" t="s">
        <v>21</v>
      </c>
      <c r="J118" s="3" t="s">
        <v>255</v>
      </c>
      <c r="K118" s="3" t="s">
        <v>256</v>
      </c>
      <c r="L118" s="3" t="s">
        <v>26</v>
      </c>
      <c r="M118" s="3" t="s">
        <v>27</v>
      </c>
      <c r="N118" s="3" t="s">
        <v>28</v>
      </c>
      <c r="P118" s="3" t="s">
        <v>130</v>
      </c>
      <c r="S118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9" spans="1:19" x14ac:dyDescent="0.2">
      <c r="A119" s="4">
        <v>726</v>
      </c>
      <c r="B119" s="3">
        <v>1</v>
      </c>
      <c r="C119" s="3" t="s">
        <v>260</v>
      </c>
      <c r="D119" s="3" t="s">
        <v>89</v>
      </c>
      <c r="E119" s="3" t="s">
        <v>21</v>
      </c>
      <c r="F119" s="3" t="s">
        <v>244</v>
      </c>
      <c r="H119" s="3" t="s">
        <v>23</v>
      </c>
      <c r="I119" s="3" t="s">
        <v>21</v>
      </c>
      <c r="J119" s="3" t="s">
        <v>257</v>
      </c>
      <c r="K119" s="3" t="s">
        <v>258</v>
      </c>
      <c r="L119" s="3" t="s">
        <v>26</v>
      </c>
      <c r="M119" s="3" t="s">
        <v>27</v>
      </c>
      <c r="N119" s="3" t="s">
        <v>28</v>
      </c>
      <c r="P119" s="3" t="s">
        <v>130</v>
      </c>
      <c r="S119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20" spans="1:19" x14ac:dyDescent="0.2">
      <c r="A120" s="4">
        <v>726</v>
      </c>
      <c r="B120" s="3">
        <v>2</v>
      </c>
      <c r="C120" s="3" t="s">
        <v>261</v>
      </c>
      <c r="D120" s="3" t="s">
        <v>262</v>
      </c>
      <c r="E120" s="3" t="s">
        <v>21</v>
      </c>
      <c r="F120" s="3" t="s">
        <v>39</v>
      </c>
      <c r="G120" s="3" t="s">
        <v>40</v>
      </c>
      <c r="I120" s="3" t="s">
        <v>41</v>
      </c>
      <c r="M120" s="3" t="s">
        <v>263</v>
      </c>
      <c r="N120" s="3" t="s">
        <v>43</v>
      </c>
      <c r="O120" s="3" t="s">
        <v>264</v>
      </c>
      <c r="S120" s="3" t="str">
        <f t="shared" si="1"/>
        <v>WITH ZDATA AS
(SELECT NVL(kfc.VALUE,0)-NVL(kfc2.VALUE,0) AS Value, 
'123' AS BusinessObjectKey, 
kfc.CHARACTERISTIC AS Characteristic
FROM ANZ_0726_AKUT kfc
JOIN PDP_ANZ_0726_AKUT kfc2 ON kfc.BO_KEY = kfc2.BO_KEY AND kfc.CHARACTERISTIC = kfc2.CHARACTERISTIC
) 
SELECT 'VGL_ABS_0726_AKUT' AS KeyFigureName,
'123456' AS ProcessingRunId, 
'12345' AS WaveId, 
Characteristic, BusinessObjectKey, 
Value AS Value 
FROM ZDATA 
ORDER BY BusinessObjectKey;</v>
      </c>
    </row>
    <row r="121" spans="1:19" x14ac:dyDescent="0.2">
      <c r="A121" s="4">
        <v>726</v>
      </c>
      <c r="B121" s="3">
        <v>2</v>
      </c>
      <c r="C121" s="3" t="s">
        <v>265</v>
      </c>
      <c r="D121" s="3" t="s">
        <v>266</v>
      </c>
      <c r="E121" s="3" t="s">
        <v>21</v>
      </c>
      <c r="F121" s="3" t="s">
        <v>39</v>
      </c>
      <c r="G121" s="3" t="s">
        <v>40</v>
      </c>
      <c r="I121" s="3" t="s">
        <v>41</v>
      </c>
      <c r="M121" s="3" t="s">
        <v>267</v>
      </c>
      <c r="N121" s="3" t="s">
        <v>43</v>
      </c>
      <c r="O121" s="3" t="s">
        <v>268</v>
      </c>
      <c r="S121" s="3" t="str">
        <f t="shared" si="1"/>
        <v>WITH ZDATA AS
(SELECT NVL(kfc.VALUE,0)-NVL(kfc2.VALUE,0) AS Value, 
'123' AS BusinessObjectKey, 
kfc.CHARACTERISTIC AS Characteristic
FROM ANZ_0726_PSY kfc
JOIN PDP_ANZ_0726_PSY kfc2 ON kfc.BO_KEY = kfc2.BO_KEY AND kfc.CHARACTERISTIC = kfc2.CHARACTERISTIC
) 
SELECT 'VGL_ABS_0726_PSY' AS KeyFigureName,
'123456' AS ProcessingRunId, 
'12345' AS WaveId, 
Characteristic, BusinessObjectKey, 
Value AS Value 
FROM ZDATA 
ORDER BY BusinessObjectKey;</v>
      </c>
    </row>
    <row r="122" spans="1:19" x14ac:dyDescent="0.2">
      <c r="A122" s="4">
        <v>726</v>
      </c>
      <c r="B122" s="3">
        <v>2</v>
      </c>
      <c r="C122" s="3" t="s">
        <v>269</v>
      </c>
      <c r="D122" s="3" t="s">
        <v>270</v>
      </c>
      <c r="E122" s="3" t="s">
        <v>21</v>
      </c>
      <c r="F122" s="3" t="s">
        <v>39</v>
      </c>
      <c r="G122" s="3" t="s">
        <v>40</v>
      </c>
      <c r="I122" s="3" t="s">
        <v>41</v>
      </c>
      <c r="M122" s="3" t="s">
        <v>271</v>
      </c>
      <c r="N122" s="3" t="s">
        <v>43</v>
      </c>
      <c r="O122" s="3" t="s">
        <v>272</v>
      </c>
      <c r="S122" s="3" t="str">
        <f t="shared" si="1"/>
        <v>WITH ZDATA AS
(SELECT NVL(kfc.VALUE,0)-NVL(kfc2.VALUE,0) AS Value, 
'123' AS BusinessObjectKey, 
kfc.CHARACTERISTIC AS Characteristic
FROM ANZ_0726_REHA kfc
JOIN PDP_ANZ_0726_REHA kfc2 ON kfc.BO_KEY = kfc2.BO_KEY AND kfc.CHARACTERISTIC = kfc2.CHARACTERISTIC
) 
SELECT 'VGL_ABS_0726_REHA' AS KeyFigureName,
'123456' AS ProcessingRunId, 
'12345' AS WaveId, 
Characteristic, BusinessObjectKey, 
Value AS Value 
FROM ZDATA 
ORDER BY BusinessObjectKey;</v>
      </c>
    </row>
    <row r="123" spans="1:19" x14ac:dyDescent="0.2">
      <c r="A123" s="4">
        <v>726</v>
      </c>
      <c r="B123" s="3">
        <v>2</v>
      </c>
      <c r="C123" s="3" t="s">
        <v>273</v>
      </c>
      <c r="D123" s="3" t="s">
        <v>262</v>
      </c>
      <c r="E123" s="3" t="s">
        <v>21</v>
      </c>
      <c r="F123" s="3" t="s">
        <v>54</v>
      </c>
      <c r="G123" s="3" t="s">
        <v>40</v>
      </c>
      <c r="I123" s="3" t="s">
        <v>41</v>
      </c>
      <c r="M123" s="3" t="s">
        <v>263</v>
      </c>
      <c r="N123" s="3" t="s">
        <v>43</v>
      </c>
      <c r="O123" s="3" t="s">
        <v>264</v>
      </c>
      <c r="P123" s="3" t="s">
        <v>55</v>
      </c>
      <c r="S123" s="3" t="str">
        <f t="shared" si="1"/>
        <v>WITH ZDATA AS
(SELECT TRUNC((NVL(kfc.VALUE,0)-NVL(kfc2.VALUE,0)) / kfc2.VALUE,10) AS Value, 
'123' AS BusinessObjectKey, 
kfc.CHARACTERISTIC AS Characteristic
FROM ANZ_0726_AKUT kfc
JOIN PDP_ANZ_0726_AKUT kfc2 ON kfc.BO_KEY = kfc2.BO_KEY AND kfc.CHARACTERISTIC = kfc2.CHARACTERISTIC
WHERE kfc2.VALUE &lt;&gt; 0 AND kfc2.VALUE IS NOT NULL
) 
SELECT 'VGL_REL_0726_AKUT' AS KeyFigureName,
'123456' AS ProcessingRunId, 
'12345' AS WaveId, 
Characteristic, BusinessObjectKey, 
Value AS Value 
FROM ZDATA 
ORDER BY BusinessObjectKey;</v>
      </c>
    </row>
    <row r="124" spans="1:19" x14ac:dyDescent="0.2">
      <c r="A124" s="4">
        <v>726</v>
      </c>
      <c r="B124" s="3">
        <v>2</v>
      </c>
      <c r="C124" s="3" t="s">
        <v>274</v>
      </c>
      <c r="D124" s="3" t="s">
        <v>266</v>
      </c>
      <c r="E124" s="3" t="s">
        <v>21</v>
      </c>
      <c r="F124" s="3" t="s">
        <v>54</v>
      </c>
      <c r="G124" s="3" t="s">
        <v>40</v>
      </c>
      <c r="I124" s="3" t="s">
        <v>41</v>
      </c>
      <c r="M124" s="3" t="s">
        <v>267</v>
      </c>
      <c r="N124" s="3" t="s">
        <v>43</v>
      </c>
      <c r="O124" s="3" t="s">
        <v>268</v>
      </c>
      <c r="P124" s="3" t="s">
        <v>55</v>
      </c>
      <c r="S124" s="3" t="str">
        <f t="shared" si="1"/>
        <v>WITH ZDATA AS
(SELECT TRUNC((NVL(kfc.VALUE,0)-NVL(kfc2.VALUE,0)) / kfc2.VALUE,10) AS Value, 
'123' AS BusinessObjectKey, 
kfc.CHARACTERISTIC AS Characteristic
FROM ANZ_0726_PSY kfc
JOIN PDP_ANZ_0726_PSY kfc2 ON kfc.BO_KEY = kfc2.BO_KEY AND kfc.CHARACTERISTIC = kfc2.CHARACTERISTIC
WHERE kfc2.VALUE &lt;&gt; 0 AND kfc2.VALUE IS NOT NULL
) 
SELECT 'VGL_REL_0726_PSY' AS KeyFigureName,
'123456' AS ProcessingRunId, 
'12345' AS WaveId, 
Characteristic, BusinessObjectKey, 
Value AS Value 
FROM ZDATA 
ORDER BY BusinessObjectKey;</v>
      </c>
    </row>
    <row r="125" spans="1:19" x14ac:dyDescent="0.2">
      <c r="A125" s="4">
        <v>726</v>
      </c>
      <c r="B125" s="3">
        <v>2</v>
      </c>
      <c r="C125" s="3" t="s">
        <v>275</v>
      </c>
      <c r="D125" s="3" t="s">
        <v>270</v>
      </c>
      <c r="E125" s="3" t="s">
        <v>21</v>
      </c>
      <c r="F125" s="3" t="s">
        <v>54</v>
      </c>
      <c r="G125" s="3" t="s">
        <v>40</v>
      </c>
      <c r="I125" s="3" t="s">
        <v>41</v>
      </c>
      <c r="M125" s="3" t="s">
        <v>271</v>
      </c>
      <c r="N125" s="3" t="s">
        <v>43</v>
      </c>
      <c r="O125" s="3" t="s">
        <v>272</v>
      </c>
      <c r="P125" s="3" t="s">
        <v>55</v>
      </c>
      <c r="S125" s="3" t="str">
        <f t="shared" si="1"/>
        <v>WITH ZDATA AS
(SELECT TRUNC((NVL(kfc.VALUE,0)-NVL(kfc2.VALUE,0)) / kfc2.VALUE,10) AS Value, 
'123' AS BusinessObjectKey, 
kfc.CHARACTERISTIC AS Characteristic
FROM ANZ_0726_REHA kfc
JOIN PDP_ANZ_0726_REHA kfc2 ON kfc.BO_KEY = kfc2.BO_KEY AND kfc.CHARACTERISTIC = kfc2.CHARACTERISTIC
WHERE kfc2.VALUE &lt;&gt; 0 AND kfc2.VALUE IS NOT NULL
) 
SELECT 'VGL_REL_0726_REHA' AS KeyFigureName,
'123456' AS ProcessingRunId, 
'12345' AS WaveId, 
Characteristic, BusinessObjectKey, 
Value AS Value 
FROM ZDATA 
ORDER BY BusinessObjectKey;</v>
      </c>
    </row>
    <row r="126" spans="1:19" x14ac:dyDescent="0.2">
      <c r="A126" s="4">
        <v>727</v>
      </c>
      <c r="B126" s="3">
        <v>1</v>
      </c>
      <c r="C126" s="3" t="s">
        <v>276</v>
      </c>
      <c r="D126" s="3" t="s">
        <v>89</v>
      </c>
      <c r="E126" s="3" t="s">
        <v>21</v>
      </c>
      <c r="F126" s="3" t="s">
        <v>277</v>
      </c>
      <c r="H126" s="3" t="s">
        <v>23</v>
      </c>
      <c r="I126" s="3" t="s">
        <v>21</v>
      </c>
      <c r="J126" s="3" t="s">
        <v>278</v>
      </c>
      <c r="K126" s="3" t="s">
        <v>279</v>
      </c>
      <c r="L126" s="3" t="s">
        <v>26</v>
      </c>
      <c r="M126" s="3" t="s">
        <v>27</v>
      </c>
      <c r="N126" s="3" t="s">
        <v>28</v>
      </c>
      <c r="S126" s="3" t="str">
        <f t="shared" si="1"/>
        <v>WITH ZDATA AS
(SELECT adm.UV_WOHNKANTON AS Value, 
'123' AS BusinessObjectKey, 
CASE WHEN adm.UV_WOHNKANTON='AG' THEN 'WOHNKANTON_AG'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7" spans="1:19" x14ac:dyDescent="0.2">
      <c r="A127" s="4">
        <v>727</v>
      </c>
      <c r="B127" s="3">
        <v>1</v>
      </c>
      <c r="C127" s="3" t="s">
        <v>276</v>
      </c>
      <c r="D127" s="3" t="s">
        <v>89</v>
      </c>
      <c r="E127" s="3" t="s">
        <v>21</v>
      </c>
      <c r="F127" s="3" t="s">
        <v>277</v>
      </c>
      <c r="H127" s="3" t="s">
        <v>23</v>
      </c>
      <c r="I127" s="3" t="s">
        <v>21</v>
      </c>
      <c r="J127" s="3" t="s">
        <v>280</v>
      </c>
      <c r="K127" s="3" t="s">
        <v>281</v>
      </c>
      <c r="L127" s="3" t="s">
        <v>26</v>
      </c>
      <c r="M127" s="3" t="s">
        <v>27</v>
      </c>
      <c r="N127" s="3" t="s">
        <v>28</v>
      </c>
      <c r="S127" s="3" t="str">
        <f t="shared" si="1"/>
        <v>WITH ZDATA AS
(SELECT adm.UV_WOHNKANTON AS Value, 
'123' AS BusinessObjectKey, 
CASE WHEN adm.UV_WOHNKANTON='AI' THEN 'WOHNKANTON_AI'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8" spans="1:19" x14ac:dyDescent="0.2">
      <c r="A128" s="4">
        <v>727</v>
      </c>
      <c r="B128" s="3">
        <v>1</v>
      </c>
      <c r="C128" s="3" t="s">
        <v>276</v>
      </c>
      <c r="D128" s="3" t="s">
        <v>89</v>
      </c>
      <c r="E128" s="3" t="s">
        <v>21</v>
      </c>
      <c r="F128" s="3" t="s">
        <v>277</v>
      </c>
      <c r="H128" s="3" t="s">
        <v>23</v>
      </c>
      <c r="I128" s="3" t="s">
        <v>21</v>
      </c>
      <c r="J128" s="3" t="s">
        <v>282</v>
      </c>
      <c r="K128" s="3" t="s">
        <v>283</v>
      </c>
      <c r="L128" s="3" t="s">
        <v>26</v>
      </c>
      <c r="M128" s="3" t="s">
        <v>27</v>
      </c>
      <c r="N128" s="3" t="s">
        <v>28</v>
      </c>
      <c r="S128" s="3" t="str">
        <f t="shared" si="1"/>
        <v>WITH ZDATA AS
(SELECT adm.UV_WOHNKANTON AS Value, 
'123' AS BusinessObjectKey, 
CASE WHEN adm.UV_WOHNKANTON='AR' THEN 'WOHNKANTON_AR'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9" spans="1:19" x14ac:dyDescent="0.2">
      <c r="A129" s="4">
        <v>727</v>
      </c>
      <c r="B129" s="3">
        <v>1</v>
      </c>
      <c r="C129" s="3" t="s">
        <v>276</v>
      </c>
      <c r="D129" s="3" t="s">
        <v>89</v>
      </c>
      <c r="E129" s="3" t="s">
        <v>21</v>
      </c>
      <c r="F129" s="3" t="s">
        <v>277</v>
      </c>
      <c r="H129" s="3" t="s">
        <v>23</v>
      </c>
      <c r="I129" s="3" t="s">
        <v>21</v>
      </c>
      <c r="J129" s="3" t="s">
        <v>284</v>
      </c>
      <c r="K129" s="3" t="s">
        <v>285</v>
      </c>
      <c r="L129" s="3" t="s">
        <v>26</v>
      </c>
      <c r="M129" s="3" t="s">
        <v>27</v>
      </c>
      <c r="N129" s="3" t="s">
        <v>28</v>
      </c>
      <c r="S129" s="3" t="str">
        <f t="shared" si="1"/>
        <v>WITH ZDATA AS
(SELECT adm.UV_WOHNKANTON AS Value, 
'123' AS BusinessObjectKey, 
CASE WHEN adm.UV_WOHNKANTON='BE' THEN 'WOHNKANTON_BE'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0" spans="1:19" x14ac:dyDescent="0.2">
      <c r="A130" s="4">
        <v>727</v>
      </c>
      <c r="B130" s="3">
        <v>1</v>
      </c>
      <c r="C130" s="3" t="s">
        <v>276</v>
      </c>
      <c r="D130" s="3" t="s">
        <v>89</v>
      </c>
      <c r="E130" s="3" t="s">
        <v>21</v>
      </c>
      <c r="F130" s="3" t="s">
        <v>277</v>
      </c>
      <c r="H130" s="3" t="s">
        <v>23</v>
      </c>
      <c r="I130" s="3" t="s">
        <v>21</v>
      </c>
      <c r="J130" s="3" t="s">
        <v>286</v>
      </c>
      <c r="K130" s="3" t="s">
        <v>287</v>
      </c>
      <c r="L130" s="3" t="s">
        <v>26</v>
      </c>
      <c r="M130" s="3" t="s">
        <v>27</v>
      </c>
      <c r="N130" s="3" t="s">
        <v>28</v>
      </c>
      <c r="S130" s="3" t="str">
        <f t="shared" ref="S130:S193" si="2">IF(F130="","","WITH ZDATA AS
(SELECT "&amp;F130&amp;" AS Value, 
'123' AS BusinessObjectKey, 
"&amp;IF(I130="False","CASE WHEN "&amp;K130&amp;" THEN '"&amp;J130&amp;"' ELSE '"&amp;L130&amp;"' 
END AS Characteristic",G130)&amp;"
FROM "&amp;M130&amp;"
"&amp;O130&amp;"
"&amp;IF(P130="","", "WHERE "&amp;P130)&amp;"
"&amp;IF(Q130="","", "GROUP BY "&amp;Q130)&amp;"
"&amp;IF(R130="","", "HAVING "&amp;R130)&amp;"
) 
SELECT '"&amp;C130&amp;"' AS KeyFigureName,
'123456' AS ProcessingRunId, 
'12345' AS WaveId, 
Characteristic, BusinessObjectKey, 
"&amp;IF(H130="","Value",H130)&amp;" AS Value 
FROM ZDATA 
"&amp;IF(I130="False","GROUP BY Characteristic, BusinessObjectKey","")&amp;"
ORDER BY BusinessObjectKey;")</f>
        <v>WITH ZDATA AS
(SELECT adm.UV_WOHNKANTON AS Value, 
'123' AS BusinessObjectKey, 
CASE WHEN adm.UV_WOHNKANTON='BL' THEN 'WOHNKANTON_BL'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1" spans="1:19" x14ac:dyDescent="0.2">
      <c r="A131" s="4">
        <v>727</v>
      </c>
      <c r="B131" s="3">
        <v>1</v>
      </c>
      <c r="C131" s="3" t="s">
        <v>276</v>
      </c>
      <c r="D131" s="3" t="s">
        <v>89</v>
      </c>
      <c r="E131" s="3" t="s">
        <v>21</v>
      </c>
      <c r="F131" s="3" t="s">
        <v>277</v>
      </c>
      <c r="H131" s="3" t="s">
        <v>23</v>
      </c>
      <c r="I131" s="3" t="s">
        <v>21</v>
      </c>
      <c r="J131" s="3" t="s">
        <v>288</v>
      </c>
      <c r="K131" s="3" t="s">
        <v>289</v>
      </c>
      <c r="L131" s="3" t="s">
        <v>26</v>
      </c>
      <c r="M131" s="3" t="s">
        <v>27</v>
      </c>
      <c r="N131" s="3" t="s">
        <v>28</v>
      </c>
      <c r="S131" s="3" t="str">
        <f t="shared" si="2"/>
        <v>WITH ZDATA AS
(SELECT adm.UV_WOHNKANTON AS Value, 
'123' AS BusinessObjectKey, 
CASE WHEN adm.UV_WOHNKANTON='BS' THEN 'WOHNKANTON_BS'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2" spans="1:19" x14ac:dyDescent="0.2">
      <c r="A132" s="4">
        <v>727</v>
      </c>
      <c r="B132" s="3">
        <v>1</v>
      </c>
      <c r="C132" s="3" t="s">
        <v>276</v>
      </c>
      <c r="D132" s="3" t="s">
        <v>89</v>
      </c>
      <c r="E132" s="3" t="s">
        <v>21</v>
      </c>
      <c r="F132" s="3" t="s">
        <v>277</v>
      </c>
      <c r="H132" s="3" t="s">
        <v>23</v>
      </c>
      <c r="I132" s="3" t="s">
        <v>21</v>
      </c>
      <c r="J132" s="3" t="s">
        <v>290</v>
      </c>
      <c r="K132" s="3" t="s">
        <v>291</v>
      </c>
      <c r="L132" s="3" t="s">
        <v>26</v>
      </c>
      <c r="M132" s="3" t="s">
        <v>27</v>
      </c>
      <c r="N132" s="3" t="s">
        <v>28</v>
      </c>
      <c r="S132" s="3" t="str">
        <f t="shared" si="2"/>
        <v>WITH ZDATA AS
(SELECT adm.UV_WOHNKANTON AS Value, 
'123' AS BusinessObjectKey, 
CASE WHEN adm.UV_WOHNKANTON='FR' THEN 'WOHNKANTON_FR'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3" spans="1:19" x14ac:dyDescent="0.2">
      <c r="A133" s="4">
        <v>727</v>
      </c>
      <c r="B133" s="3">
        <v>1</v>
      </c>
      <c r="C133" s="3" t="s">
        <v>276</v>
      </c>
      <c r="D133" s="3" t="s">
        <v>89</v>
      </c>
      <c r="E133" s="3" t="s">
        <v>21</v>
      </c>
      <c r="F133" s="3" t="s">
        <v>277</v>
      </c>
      <c r="H133" s="3" t="s">
        <v>23</v>
      </c>
      <c r="I133" s="3" t="s">
        <v>21</v>
      </c>
      <c r="J133" s="3" t="s">
        <v>292</v>
      </c>
      <c r="K133" s="3" t="s">
        <v>293</v>
      </c>
      <c r="L133" s="3" t="s">
        <v>26</v>
      </c>
      <c r="M133" s="3" t="s">
        <v>27</v>
      </c>
      <c r="N133" s="3" t="s">
        <v>28</v>
      </c>
      <c r="S133" s="3" t="str">
        <f t="shared" si="2"/>
        <v>WITH ZDATA AS
(SELECT adm.UV_WOHNKANTON AS Value, 
'123' AS BusinessObjectKey, 
CASE WHEN adm.UV_WOHNKANTON='GE' THEN 'WOHNKANTON_GE'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4" spans="1:19" x14ac:dyDescent="0.2">
      <c r="A134" s="4">
        <v>727</v>
      </c>
      <c r="B134" s="3">
        <v>1</v>
      </c>
      <c r="C134" s="3" t="s">
        <v>276</v>
      </c>
      <c r="D134" s="3" t="s">
        <v>89</v>
      </c>
      <c r="E134" s="3" t="s">
        <v>21</v>
      </c>
      <c r="F134" s="3" t="s">
        <v>277</v>
      </c>
      <c r="H134" s="3" t="s">
        <v>23</v>
      </c>
      <c r="I134" s="3" t="s">
        <v>21</v>
      </c>
      <c r="J134" s="3" t="s">
        <v>294</v>
      </c>
      <c r="K134" s="3" t="s">
        <v>295</v>
      </c>
      <c r="L134" s="3" t="s">
        <v>26</v>
      </c>
      <c r="M134" s="3" t="s">
        <v>27</v>
      </c>
      <c r="N134" s="3" t="s">
        <v>28</v>
      </c>
      <c r="S134" s="3" t="str">
        <f t="shared" si="2"/>
        <v>WITH ZDATA AS
(SELECT adm.UV_WOHNKANTON AS Value, 
'123' AS BusinessObjectKey, 
CASE WHEN adm.UV_WOHNKANTON='GL' THEN 'WOHNKANTON_GL'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5" spans="1:19" x14ac:dyDescent="0.2">
      <c r="A135" s="4">
        <v>727</v>
      </c>
      <c r="B135" s="3">
        <v>1</v>
      </c>
      <c r="C135" s="3" t="s">
        <v>276</v>
      </c>
      <c r="D135" s="3" t="s">
        <v>89</v>
      </c>
      <c r="E135" s="3" t="s">
        <v>21</v>
      </c>
      <c r="F135" s="3" t="s">
        <v>277</v>
      </c>
      <c r="H135" s="3" t="s">
        <v>23</v>
      </c>
      <c r="I135" s="3" t="s">
        <v>21</v>
      </c>
      <c r="J135" s="3" t="s">
        <v>296</v>
      </c>
      <c r="K135" s="3" t="s">
        <v>297</v>
      </c>
      <c r="L135" s="3" t="s">
        <v>26</v>
      </c>
      <c r="M135" s="3" t="s">
        <v>27</v>
      </c>
      <c r="N135" s="3" t="s">
        <v>28</v>
      </c>
      <c r="S135" s="3" t="str">
        <f t="shared" si="2"/>
        <v>WITH ZDATA AS
(SELECT adm.UV_WOHNKANTON AS Value, 
'123' AS BusinessObjectKey, 
CASE WHEN adm.UV_WOHNKANTON='GR' THEN 'WOHNKANTON_GR'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6" spans="1:19" x14ac:dyDescent="0.2">
      <c r="A136" s="4">
        <v>727</v>
      </c>
      <c r="B136" s="3">
        <v>1</v>
      </c>
      <c r="C136" s="3" t="s">
        <v>276</v>
      </c>
      <c r="D136" s="3" t="s">
        <v>89</v>
      </c>
      <c r="E136" s="3" t="s">
        <v>21</v>
      </c>
      <c r="F136" s="3" t="s">
        <v>277</v>
      </c>
      <c r="H136" s="3" t="s">
        <v>23</v>
      </c>
      <c r="I136" s="3" t="s">
        <v>21</v>
      </c>
      <c r="J136" s="3" t="s">
        <v>298</v>
      </c>
      <c r="K136" s="3" t="s">
        <v>299</v>
      </c>
      <c r="L136" s="3" t="s">
        <v>26</v>
      </c>
      <c r="M136" s="3" t="s">
        <v>27</v>
      </c>
      <c r="N136" s="3" t="s">
        <v>28</v>
      </c>
      <c r="S136" s="3" t="str">
        <f t="shared" si="2"/>
        <v>WITH ZDATA AS
(SELECT adm.UV_WOHNKANTON AS Value, 
'123' AS BusinessObjectKey, 
CASE WHEN adm.UV_WOHNKANTON='JU' THEN 'WOHNKANTON_JU'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7" spans="1:19" x14ac:dyDescent="0.2">
      <c r="A137" s="4">
        <v>727</v>
      </c>
      <c r="B137" s="3">
        <v>1</v>
      </c>
      <c r="C137" s="3" t="s">
        <v>276</v>
      </c>
      <c r="D137" s="3" t="s">
        <v>89</v>
      </c>
      <c r="E137" s="3" t="s">
        <v>21</v>
      </c>
      <c r="F137" s="3" t="s">
        <v>277</v>
      </c>
      <c r="H137" s="3" t="s">
        <v>23</v>
      </c>
      <c r="I137" s="3" t="s">
        <v>21</v>
      </c>
      <c r="J137" s="3" t="s">
        <v>300</v>
      </c>
      <c r="K137" s="3" t="s">
        <v>301</v>
      </c>
      <c r="L137" s="3" t="s">
        <v>26</v>
      </c>
      <c r="M137" s="3" t="s">
        <v>27</v>
      </c>
      <c r="N137" s="3" t="s">
        <v>28</v>
      </c>
      <c r="S137" s="3" t="str">
        <f t="shared" si="2"/>
        <v>WITH ZDATA AS
(SELECT adm.UV_WOHNKANTON AS Value, 
'123' AS BusinessObjectKey, 
CASE WHEN adm.UV_WOHNKANTON='LU' THEN 'WOHNKANTON_LU'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8" spans="1:19" x14ac:dyDescent="0.2">
      <c r="A138" s="4">
        <v>727</v>
      </c>
      <c r="B138" s="3">
        <v>1</v>
      </c>
      <c r="C138" s="3" t="s">
        <v>276</v>
      </c>
      <c r="D138" s="3" t="s">
        <v>89</v>
      </c>
      <c r="E138" s="3" t="s">
        <v>21</v>
      </c>
      <c r="F138" s="3" t="s">
        <v>277</v>
      </c>
      <c r="H138" s="3" t="s">
        <v>23</v>
      </c>
      <c r="I138" s="3" t="s">
        <v>21</v>
      </c>
      <c r="J138" s="3" t="s">
        <v>302</v>
      </c>
      <c r="K138" s="3" t="s">
        <v>303</v>
      </c>
      <c r="L138" s="3" t="s">
        <v>26</v>
      </c>
      <c r="M138" s="3" t="s">
        <v>27</v>
      </c>
      <c r="N138" s="3" t="s">
        <v>28</v>
      </c>
      <c r="S138" s="3" t="str">
        <f t="shared" si="2"/>
        <v>WITH ZDATA AS
(SELECT adm.UV_WOHNKANTON AS Value, 
'123' AS BusinessObjectKey, 
CASE WHEN adm.UV_WOHNKANTON='NE' THEN 'WOHNKANTON_NE'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9" spans="1:19" x14ac:dyDescent="0.2">
      <c r="A139" s="4">
        <v>727</v>
      </c>
      <c r="B139" s="3">
        <v>1</v>
      </c>
      <c r="C139" s="3" t="s">
        <v>276</v>
      </c>
      <c r="D139" s="3" t="s">
        <v>89</v>
      </c>
      <c r="E139" s="3" t="s">
        <v>21</v>
      </c>
      <c r="F139" s="3" t="s">
        <v>277</v>
      </c>
      <c r="H139" s="3" t="s">
        <v>23</v>
      </c>
      <c r="I139" s="3" t="s">
        <v>21</v>
      </c>
      <c r="J139" s="3" t="s">
        <v>304</v>
      </c>
      <c r="K139" s="3" t="s">
        <v>305</v>
      </c>
      <c r="L139" s="3" t="s">
        <v>26</v>
      </c>
      <c r="M139" s="3" t="s">
        <v>27</v>
      </c>
      <c r="N139" s="3" t="s">
        <v>28</v>
      </c>
      <c r="S139" s="3" t="str">
        <f t="shared" si="2"/>
        <v>WITH ZDATA AS
(SELECT adm.UV_WOHNKANTON AS Value, 
'123' AS BusinessObjectKey, 
CASE WHEN adm.UV_WOHNKANTON='NW' THEN 'WOHNKANTON_NW'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0" spans="1:19" x14ac:dyDescent="0.2">
      <c r="A140" s="4">
        <v>727</v>
      </c>
      <c r="B140" s="3">
        <v>1</v>
      </c>
      <c r="C140" s="3" t="s">
        <v>276</v>
      </c>
      <c r="D140" s="3" t="s">
        <v>89</v>
      </c>
      <c r="E140" s="3" t="s">
        <v>21</v>
      </c>
      <c r="F140" s="3" t="s">
        <v>277</v>
      </c>
      <c r="H140" s="3" t="s">
        <v>23</v>
      </c>
      <c r="I140" s="3" t="s">
        <v>21</v>
      </c>
      <c r="J140" s="3" t="s">
        <v>306</v>
      </c>
      <c r="K140" s="3" t="s">
        <v>307</v>
      </c>
      <c r="L140" s="3" t="s">
        <v>26</v>
      </c>
      <c r="M140" s="3" t="s">
        <v>27</v>
      </c>
      <c r="N140" s="3" t="s">
        <v>28</v>
      </c>
      <c r="S140" s="3" t="str">
        <f t="shared" si="2"/>
        <v>WITH ZDATA AS
(SELECT adm.UV_WOHNKANTON AS Value, 
'123' AS BusinessObjectKey, 
CASE WHEN adm.UV_WOHNKANTON='OW' THEN 'WOHNKANTON_OW'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1" spans="1:19" x14ac:dyDescent="0.2">
      <c r="A141" s="4">
        <v>727</v>
      </c>
      <c r="B141" s="3">
        <v>1</v>
      </c>
      <c r="C141" s="3" t="s">
        <v>276</v>
      </c>
      <c r="D141" s="3" t="s">
        <v>89</v>
      </c>
      <c r="E141" s="3" t="s">
        <v>21</v>
      </c>
      <c r="F141" s="3" t="s">
        <v>277</v>
      </c>
      <c r="H141" s="3" t="s">
        <v>23</v>
      </c>
      <c r="I141" s="3" t="s">
        <v>21</v>
      </c>
      <c r="J141" s="3" t="s">
        <v>308</v>
      </c>
      <c r="K141" s="3" t="s">
        <v>309</v>
      </c>
      <c r="L141" s="3" t="s">
        <v>26</v>
      </c>
      <c r="M141" s="3" t="s">
        <v>27</v>
      </c>
      <c r="N141" s="3" t="s">
        <v>28</v>
      </c>
      <c r="S141" s="3" t="str">
        <f t="shared" si="2"/>
        <v>WITH ZDATA AS
(SELECT adm.UV_WOHNKANTON AS Value, 
'123' AS BusinessObjectKey, 
CASE WHEN adm.UV_WOHNKANTON='SG' THEN 'WOHNKANTON_SG'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2" spans="1:19" x14ac:dyDescent="0.2">
      <c r="A142" s="4">
        <v>727</v>
      </c>
      <c r="B142" s="3">
        <v>1</v>
      </c>
      <c r="C142" s="3" t="s">
        <v>276</v>
      </c>
      <c r="D142" s="3" t="s">
        <v>89</v>
      </c>
      <c r="E142" s="3" t="s">
        <v>21</v>
      </c>
      <c r="F142" s="3" t="s">
        <v>277</v>
      </c>
      <c r="H142" s="3" t="s">
        <v>23</v>
      </c>
      <c r="I142" s="3" t="s">
        <v>21</v>
      </c>
      <c r="J142" s="3" t="s">
        <v>310</v>
      </c>
      <c r="K142" s="3" t="s">
        <v>311</v>
      </c>
      <c r="L142" s="3" t="s">
        <v>26</v>
      </c>
      <c r="M142" s="3" t="s">
        <v>27</v>
      </c>
      <c r="N142" s="3" t="s">
        <v>28</v>
      </c>
      <c r="S142" s="3" t="str">
        <f t="shared" si="2"/>
        <v>WITH ZDATA AS
(SELECT adm.UV_WOHNKANTON AS Value, 
'123' AS BusinessObjectKey, 
CASE WHEN adm.UV_WOHNKANTON='SH' THEN 'WOHNKANTON_SH'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3" spans="1:19" x14ac:dyDescent="0.2">
      <c r="A143" s="4">
        <v>727</v>
      </c>
      <c r="B143" s="3">
        <v>1</v>
      </c>
      <c r="C143" s="3" t="s">
        <v>276</v>
      </c>
      <c r="D143" s="3" t="s">
        <v>89</v>
      </c>
      <c r="E143" s="3" t="s">
        <v>21</v>
      </c>
      <c r="F143" s="3" t="s">
        <v>277</v>
      </c>
      <c r="H143" s="3" t="s">
        <v>23</v>
      </c>
      <c r="I143" s="3" t="s">
        <v>21</v>
      </c>
      <c r="J143" s="3" t="s">
        <v>312</v>
      </c>
      <c r="K143" s="3" t="s">
        <v>313</v>
      </c>
      <c r="L143" s="3" t="s">
        <v>26</v>
      </c>
      <c r="M143" s="3" t="s">
        <v>27</v>
      </c>
      <c r="N143" s="3" t="s">
        <v>28</v>
      </c>
      <c r="S143" s="3" t="str">
        <f t="shared" si="2"/>
        <v>WITH ZDATA AS
(SELECT adm.UV_WOHNKANTON AS Value, 
'123' AS BusinessObjectKey, 
CASE WHEN adm.UV_WOHNKANTON='SO' THEN 'WOHNKANTON_SO'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4" spans="1:19" x14ac:dyDescent="0.2">
      <c r="A144" s="4">
        <v>727</v>
      </c>
      <c r="B144" s="3">
        <v>1</v>
      </c>
      <c r="C144" s="3" t="s">
        <v>276</v>
      </c>
      <c r="D144" s="3" t="s">
        <v>89</v>
      </c>
      <c r="E144" s="3" t="s">
        <v>21</v>
      </c>
      <c r="F144" s="3" t="s">
        <v>277</v>
      </c>
      <c r="H144" s="3" t="s">
        <v>23</v>
      </c>
      <c r="I144" s="3" t="s">
        <v>21</v>
      </c>
      <c r="J144" s="3" t="s">
        <v>314</v>
      </c>
      <c r="K144" s="3" t="s">
        <v>315</v>
      </c>
      <c r="L144" s="3" t="s">
        <v>26</v>
      </c>
      <c r="M144" s="3" t="s">
        <v>27</v>
      </c>
      <c r="N144" s="3" t="s">
        <v>28</v>
      </c>
      <c r="S144" s="3" t="str">
        <f t="shared" si="2"/>
        <v>WITH ZDATA AS
(SELECT adm.UV_WOHNKANTON AS Value, 
'123' AS BusinessObjectKey, 
CASE WHEN adm.UV_WOHNKANTON='SZ' THEN 'WOHNKANTON_SZ'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5" spans="1:19" x14ac:dyDescent="0.2">
      <c r="A145" s="4">
        <v>727</v>
      </c>
      <c r="B145" s="3">
        <v>1</v>
      </c>
      <c r="C145" s="3" t="s">
        <v>276</v>
      </c>
      <c r="D145" s="3" t="s">
        <v>89</v>
      </c>
      <c r="E145" s="3" t="s">
        <v>21</v>
      </c>
      <c r="F145" s="3" t="s">
        <v>277</v>
      </c>
      <c r="H145" s="3" t="s">
        <v>23</v>
      </c>
      <c r="I145" s="3" t="s">
        <v>21</v>
      </c>
      <c r="J145" s="3" t="s">
        <v>316</v>
      </c>
      <c r="K145" s="3" t="s">
        <v>317</v>
      </c>
      <c r="L145" s="3" t="s">
        <v>26</v>
      </c>
      <c r="M145" s="3" t="s">
        <v>27</v>
      </c>
      <c r="N145" s="3" t="s">
        <v>28</v>
      </c>
      <c r="S145" s="3" t="str">
        <f t="shared" si="2"/>
        <v>WITH ZDATA AS
(SELECT adm.UV_WOHNKANTON AS Value, 
'123' AS BusinessObjectKey, 
CASE WHEN adm.UV_WOHNKANTON='TG' THEN 'WOHNKANTON_TG'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6" spans="1:19" x14ac:dyDescent="0.2">
      <c r="A146" s="4">
        <v>727</v>
      </c>
      <c r="B146" s="3">
        <v>1</v>
      </c>
      <c r="C146" s="3" t="s">
        <v>276</v>
      </c>
      <c r="D146" s="3" t="s">
        <v>89</v>
      </c>
      <c r="E146" s="3" t="s">
        <v>21</v>
      </c>
      <c r="F146" s="3" t="s">
        <v>277</v>
      </c>
      <c r="H146" s="3" t="s">
        <v>23</v>
      </c>
      <c r="I146" s="3" t="s">
        <v>21</v>
      </c>
      <c r="J146" s="3" t="s">
        <v>318</v>
      </c>
      <c r="K146" s="3" t="s">
        <v>319</v>
      </c>
      <c r="L146" s="3" t="s">
        <v>26</v>
      </c>
      <c r="M146" s="3" t="s">
        <v>27</v>
      </c>
      <c r="N146" s="3" t="s">
        <v>28</v>
      </c>
      <c r="S146" s="3" t="str">
        <f t="shared" si="2"/>
        <v>WITH ZDATA AS
(SELECT adm.UV_WOHNKANTON AS Value, 
'123' AS BusinessObjectKey, 
CASE WHEN adm.UV_WOHNKANTON='TI' THEN 'WOHNKANTON_TI'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7" spans="1:19" x14ac:dyDescent="0.2">
      <c r="A147" s="4">
        <v>727</v>
      </c>
      <c r="B147" s="3">
        <v>1</v>
      </c>
      <c r="C147" s="3" t="s">
        <v>276</v>
      </c>
      <c r="D147" s="3" t="s">
        <v>89</v>
      </c>
      <c r="E147" s="3" t="s">
        <v>21</v>
      </c>
      <c r="F147" s="3" t="s">
        <v>277</v>
      </c>
      <c r="H147" s="3" t="s">
        <v>23</v>
      </c>
      <c r="I147" s="3" t="s">
        <v>21</v>
      </c>
      <c r="J147" s="3" t="s">
        <v>320</v>
      </c>
      <c r="K147" s="3" t="s">
        <v>321</v>
      </c>
      <c r="L147" s="3" t="s">
        <v>26</v>
      </c>
      <c r="M147" s="3" t="s">
        <v>27</v>
      </c>
      <c r="N147" s="3" t="s">
        <v>28</v>
      </c>
      <c r="S147" s="3" t="str">
        <f t="shared" si="2"/>
        <v>WITH ZDATA AS
(SELECT adm.UV_WOHNKANTON AS Value, 
'123' AS BusinessObjectKey, 
CASE WHEN adm.UV_WOHNKANTON='UR' THEN 'WOHNKANTON_UR'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8" spans="1:19" x14ac:dyDescent="0.2">
      <c r="A148" s="4">
        <v>727</v>
      </c>
      <c r="B148" s="3">
        <v>1</v>
      </c>
      <c r="C148" s="3" t="s">
        <v>276</v>
      </c>
      <c r="D148" s="3" t="s">
        <v>89</v>
      </c>
      <c r="E148" s="3" t="s">
        <v>21</v>
      </c>
      <c r="F148" s="3" t="s">
        <v>277</v>
      </c>
      <c r="H148" s="3" t="s">
        <v>23</v>
      </c>
      <c r="I148" s="3" t="s">
        <v>21</v>
      </c>
      <c r="J148" s="3" t="s">
        <v>322</v>
      </c>
      <c r="K148" s="3" t="s">
        <v>323</v>
      </c>
      <c r="L148" s="3" t="s">
        <v>26</v>
      </c>
      <c r="M148" s="3" t="s">
        <v>27</v>
      </c>
      <c r="N148" s="3" t="s">
        <v>28</v>
      </c>
      <c r="S148" s="3" t="str">
        <f t="shared" si="2"/>
        <v>WITH ZDATA AS
(SELECT adm.UV_WOHNKANTON AS Value, 
'123' AS BusinessObjectKey, 
CASE WHEN adm.UV_WOHNKANTON='VD' THEN 'WOHNKANTON_VD'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9" spans="1:19" x14ac:dyDescent="0.2">
      <c r="A149" s="4">
        <v>727</v>
      </c>
      <c r="B149" s="3">
        <v>1</v>
      </c>
      <c r="C149" s="3" t="s">
        <v>276</v>
      </c>
      <c r="D149" s="3" t="s">
        <v>89</v>
      </c>
      <c r="E149" s="3" t="s">
        <v>21</v>
      </c>
      <c r="F149" s="3" t="s">
        <v>277</v>
      </c>
      <c r="H149" s="3" t="s">
        <v>23</v>
      </c>
      <c r="I149" s="3" t="s">
        <v>21</v>
      </c>
      <c r="J149" s="3" t="s">
        <v>324</v>
      </c>
      <c r="K149" s="3" t="s">
        <v>325</v>
      </c>
      <c r="L149" s="3" t="s">
        <v>26</v>
      </c>
      <c r="M149" s="3" t="s">
        <v>27</v>
      </c>
      <c r="N149" s="3" t="s">
        <v>28</v>
      </c>
      <c r="S149" s="3" t="str">
        <f t="shared" si="2"/>
        <v>WITH ZDATA AS
(SELECT adm.UV_WOHNKANTON AS Value, 
'123' AS BusinessObjectKey, 
CASE WHEN adm.UV_WOHNKANTON='VS' THEN 'WOHNKANTON_VS'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0" spans="1:19" x14ac:dyDescent="0.2">
      <c r="A150" s="4">
        <v>727</v>
      </c>
      <c r="B150" s="3">
        <v>1</v>
      </c>
      <c r="C150" s="3" t="s">
        <v>276</v>
      </c>
      <c r="D150" s="3" t="s">
        <v>89</v>
      </c>
      <c r="E150" s="3" t="s">
        <v>21</v>
      </c>
      <c r="F150" s="3" t="s">
        <v>277</v>
      </c>
      <c r="H150" s="3" t="s">
        <v>23</v>
      </c>
      <c r="I150" s="3" t="s">
        <v>21</v>
      </c>
      <c r="J150" s="3" t="s">
        <v>326</v>
      </c>
      <c r="K150" s="3" t="s">
        <v>327</v>
      </c>
      <c r="L150" s="3" t="s">
        <v>26</v>
      </c>
      <c r="M150" s="3" t="s">
        <v>27</v>
      </c>
      <c r="N150" s="3" t="s">
        <v>28</v>
      </c>
      <c r="S150" s="3" t="str">
        <f t="shared" si="2"/>
        <v>WITH ZDATA AS
(SELECT adm.UV_WOHNKANTON AS Value, 
'123' AS BusinessObjectKey, 
CASE WHEN adm.UV_WOHNKANTON='ZG' THEN 'WOHNKANTON_ZG'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1" spans="1:19" x14ac:dyDescent="0.2">
      <c r="A151" s="4">
        <v>727</v>
      </c>
      <c r="B151" s="3">
        <v>1</v>
      </c>
      <c r="C151" s="3" t="s">
        <v>276</v>
      </c>
      <c r="D151" s="3" t="s">
        <v>89</v>
      </c>
      <c r="E151" s="3" t="s">
        <v>21</v>
      </c>
      <c r="F151" s="3" t="s">
        <v>277</v>
      </c>
      <c r="H151" s="3" t="s">
        <v>23</v>
      </c>
      <c r="I151" s="3" t="s">
        <v>21</v>
      </c>
      <c r="J151" s="3" t="s">
        <v>328</v>
      </c>
      <c r="K151" s="3" t="s">
        <v>329</v>
      </c>
      <c r="L151" s="3" t="s">
        <v>26</v>
      </c>
      <c r="M151" s="3" t="s">
        <v>27</v>
      </c>
      <c r="N151" s="3" t="s">
        <v>28</v>
      </c>
      <c r="S151" s="3" t="str">
        <f t="shared" si="2"/>
        <v>WITH ZDATA AS
(SELECT adm.UV_WOHNKANTON AS Value, 
'123' AS BusinessObjectKey, 
CASE WHEN adm.UV_WOHNKANTON='ZH' THEN 'WOHNKANTON_ZH'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2" spans="1:19" x14ac:dyDescent="0.2">
      <c r="A152" s="4">
        <v>727</v>
      </c>
      <c r="B152" s="3">
        <v>2</v>
      </c>
      <c r="C152" s="3" t="s">
        <v>330</v>
      </c>
      <c r="D152" s="3" t="s">
        <v>331</v>
      </c>
      <c r="E152" s="3" t="s">
        <v>21</v>
      </c>
      <c r="F152" s="3" t="s">
        <v>39</v>
      </c>
      <c r="G152" s="3" t="s">
        <v>40</v>
      </c>
      <c r="I152" s="3" t="s">
        <v>41</v>
      </c>
      <c r="M152" s="3" t="s">
        <v>332</v>
      </c>
      <c r="N152" s="3" t="s">
        <v>43</v>
      </c>
      <c r="O152" s="3" t="s">
        <v>333</v>
      </c>
      <c r="S152" s="3" t="str">
        <f t="shared" si="2"/>
        <v>WITH ZDATA AS
(SELECT NVL(kfc.VALUE,0)-NVL(kfc2.VALUE,0) AS Value, 
'123' AS BusinessObjectKey, 
kfc.CHARACTERISTIC AS Characteristic
FROM ANZ_0727 kfc
JOIN PDP_ANZ_0727 kfc2 ON kfc.BO_KEY = kfc2.BO_KEY AND kfc.CHARACTERISTIC = kfc2.CHARACTERISTIC
) 
SELECT 'VGL_ABS_0727' AS KeyFigureName,
'123456' AS ProcessingRunId, 
'12345' AS WaveId, 
Characteristic, BusinessObjectKey, 
Value AS Value 
FROM ZDATA 
ORDER BY BusinessObjectKey;</v>
      </c>
    </row>
    <row r="153" spans="1:19" x14ac:dyDescent="0.2">
      <c r="A153" s="4">
        <v>727</v>
      </c>
      <c r="B153" s="3">
        <v>2</v>
      </c>
      <c r="C153" s="3" t="s">
        <v>334</v>
      </c>
      <c r="D153" s="3" t="s">
        <v>331</v>
      </c>
      <c r="E153" s="3" t="s">
        <v>21</v>
      </c>
      <c r="F153" s="3" t="s">
        <v>54</v>
      </c>
      <c r="G153" s="3" t="s">
        <v>40</v>
      </c>
      <c r="I153" s="3" t="s">
        <v>41</v>
      </c>
      <c r="M153" s="3" t="s">
        <v>332</v>
      </c>
      <c r="N153" s="3" t="s">
        <v>43</v>
      </c>
      <c r="O153" s="3" t="s">
        <v>333</v>
      </c>
      <c r="P153" s="3" t="s">
        <v>55</v>
      </c>
      <c r="S153" s="3" t="str">
        <f t="shared" si="2"/>
        <v>WITH ZDATA AS
(SELECT TRUNC((NVL(kfc.VALUE,0)-NVL(kfc2.VALUE,0)) / kfc2.VALUE,10) AS Value, 
'123' AS BusinessObjectKey, 
kfc.CHARACTERISTIC AS Characteristic
FROM ANZ_0727 kfc
JOIN PDP_ANZ_0727 kfc2 ON kfc.BO_KEY = kfc2.BO_KEY AND kfc.CHARACTERISTIC = kfc2.CHARACTERISTIC
WHERE kfc2.VALUE &lt;&gt; 0 AND kfc2.VALUE IS NOT NULL
) 
SELECT 'VGL_REL_0727' AS KeyFigureName,
'123456' AS ProcessingRunId, 
'12345' AS WaveId, 
Characteristic, BusinessObjectKey, 
Value AS Value 
FROM ZDATA 
ORDER BY BusinessObjectKey;</v>
      </c>
    </row>
    <row r="154" spans="1:19" x14ac:dyDescent="0.2">
      <c r="A154" s="4">
        <v>728</v>
      </c>
      <c r="B154" s="3">
        <v>1</v>
      </c>
      <c r="C154" s="3" t="s">
        <v>335</v>
      </c>
      <c r="D154" s="3" t="s">
        <v>89</v>
      </c>
      <c r="E154" s="3" t="s">
        <v>21</v>
      </c>
      <c r="F154" s="3" t="s">
        <v>336</v>
      </c>
      <c r="H154" s="3" t="s">
        <v>23</v>
      </c>
      <c r="I154" s="3" t="s">
        <v>21</v>
      </c>
      <c r="J154" s="3" t="s">
        <v>337</v>
      </c>
      <c r="K154" s="3" t="s">
        <v>338</v>
      </c>
      <c r="L154" s="3" t="s">
        <v>26</v>
      </c>
      <c r="M154" s="3" t="s">
        <v>27</v>
      </c>
      <c r="N154" s="3" t="s">
        <v>28</v>
      </c>
      <c r="P154" s="3" t="s">
        <v>126</v>
      </c>
      <c r="S154" s="3" t="str">
        <f t="shared" si="2"/>
        <v>WITH ZDATA AS
(SELECT adm.UV_GESCHLECHT AS Value, 
'123' AS BusinessObjectKey, 
CASE WHEN adm.UV_GESCHLECHT=1 THEN 'GESCHLECHT_1' ELSE 'OTHER' 
END AS Characteristic
FROM ADMINISTRATIVES adm
WHERE adm.UV_TARIF IN (1,2)
) 
SELECT 'ANZ_0728_AKUT' AS KeyFigureName,
'123456' AS ProcessingRunId, 
'12345' AS WaveId, 
Characteristic, BusinessObjectKey, 
COUNT(*) AS Value 
FROM ZDATA 
GROUP BY Characteristic, BusinessObjectKey
ORDER BY BusinessObjectKey;</v>
      </c>
    </row>
    <row r="155" spans="1:19" x14ac:dyDescent="0.2">
      <c r="A155" s="4">
        <v>728</v>
      </c>
      <c r="B155" s="3">
        <v>1</v>
      </c>
      <c r="C155" s="3" t="s">
        <v>335</v>
      </c>
      <c r="D155" s="3" t="s">
        <v>89</v>
      </c>
      <c r="E155" s="3" t="s">
        <v>21</v>
      </c>
      <c r="F155" s="3" t="s">
        <v>336</v>
      </c>
      <c r="H155" s="3" t="s">
        <v>23</v>
      </c>
      <c r="I155" s="3" t="s">
        <v>21</v>
      </c>
      <c r="J155" s="3" t="s">
        <v>339</v>
      </c>
      <c r="K155" s="3" t="s">
        <v>340</v>
      </c>
      <c r="L155" s="3" t="s">
        <v>26</v>
      </c>
      <c r="M155" s="3" t="s">
        <v>27</v>
      </c>
      <c r="N155" s="3" t="s">
        <v>28</v>
      </c>
      <c r="P155" s="3" t="s">
        <v>126</v>
      </c>
      <c r="S155" s="3" t="str">
        <f t="shared" si="2"/>
        <v>WITH ZDATA AS
(SELECT adm.UV_GESCHLECHT AS Value, 
'123' AS BusinessObjectKey, 
CASE WHEN adm.UV_GESCHLECHT=2 THEN 'GESCHLECHT_2' ELSE 'OTHER' 
END AS Characteristic
FROM ADMINISTRATIVES adm
WHERE adm.UV_TARIF IN (1,2)
) 
SELECT 'ANZ_0728_AKUT' AS KeyFigureName,
'123456' AS ProcessingRunId, 
'12345' AS WaveId, 
Characteristic, BusinessObjectKey, 
COUNT(*) AS Value 
FROM ZDATA 
GROUP BY Characteristic, BusinessObjectKey
ORDER BY BusinessObjectKey;</v>
      </c>
    </row>
    <row r="156" spans="1:19" x14ac:dyDescent="0.2">
      <c r="A156" s="4">
        <v>728</v>
      </c>
      <c r="B156" s="3">
        <v>1</v>
      </c>
      <c r="C156" s="3" t="s">
        <v>341</v>
      </c>
      <c r="D156" s="3" t="s">
        <v>89</v>
      </c>
      <c r="E156" s="3" t="s">
        <v>21</v>
      </c>
      <c r="F156" s="3" t="s">
        <v>336</v>
      </c>
      <c r="H156" s="3" t="s">
        <v>23</v>
      </c>
      <c r="I156" s="3" t="s">
        <v>21</v>
      </c>
      <c r="J156" s="3" t="s">
        <v>337</v>
      </c>
      <c r="K156" s="3" t="s">
        <v>338</v>
      </c>
      <c r="L156" s="3" t="s">
        <v>26</v>
      </c>
      <c r="M156" s="3" t="s">
        <v>27</v>
      </c>
      <c r="N156" s="3" t="s">
        <v>28</v>
      </c>
      <c r="P156" s="3" t="s">
        <v>128</v>
      </c>
      <c r="S156" s="3" t="str">
        <f t="shared" si="2"/>
        <v>WITH ZDATA AS
(SELECT adm.UV_GESCHLECHT AS Value, 
'123' AS BusinessObjectKey, 
CASE WHEN adm.UV_GESCHLECHT=1 THEN 'GESCHLECHT_1' ELSE 'OTHER' 
END AS Characteristic
FROM ADMINISTRATIVES adm
WHERE adm.UV_TARIF IN (5,6)
) 
SELECT 'ANZ_0728_PSY' AS KeyFigureName,
'123456' AS ProcessingRunId, 
'12345' AS WaveId, 
Characteristic, BusinessObjectKey, 
COUNT(*) AS Value 
FROM ZDATA 
GROUP BY Characteristic, BusinessObjectKey
ORDER BY BusinessObjectKey;</v>
      </c>
    </row>
    <row r="157" spans="1:19" x14ac:dyDescent="0.2">
      <c r="A157" s="4">
        <v>728</v>
      </c>
      <c r="B157" s="3">
        <v>1</v>
      </c>
      <c r="C157" s="3" t="s">
        <v>341</v>
      </c>
      <c r="D157" s="3" t="s">
        <v>89</v>
      </c>
      <c r="E157" s="3" t="s">
        <v>21</v>
      </c>
      <c r="F157" s="3" t="s">
        <v>336</v>
      </c>
      <c r="H157" s="3" t="s">
        <v>23</v>
      </c>
      <c r="I157" s="3" t="s">
        <v>21</v>
      </c>
      <c r="J157" s="3" t="s">
        <v>339</v>
      </c>
      <c r="K157" s="3" t="s">
        <v>340</v>
      </c>
      <c r="L157" s="3" t="s">
        <v>26</v>
      </c>
      <c r="M157" s="3" t="s">
        <v>27</v>
      </c>
      <c r="N157" s="3" t="s">
        <v>28</v>
      </c>
      <c r="P157" s="3" t="s">
        <v>128</v>
      </c>
      <c r="S157" s="3" t="str">
        <f t="shared" si="2"/>
        <v>WITH ZDATA AS
(SELECT adm.UV_GESCHLECHT AS Value, 
'123' AS BusinessObjectKey, 
CASE WHEN adm.UV_GESCHLECHT=2 THEN 'GESCHLECHT_2' ELSE 'OTHER' 
END AS Characteristic
FROM ADMINISTRATIVES adm
WHERE adm.UV_TARIF IN (5,6)
) 
SELECT 'ANZ_0728_PSY' AS KeyFigureName,
'123456' AS ProcessingRunId, 
'12345' AS WaveId, 
Characteristic, BusinessObjectKey, 
COUNT(*) AS Value 
FROM ZDATA 
GROUP BY Characteristic, BusinessObjectKey
ORDER BY BusinessObjectKey;</v>
      </c>
    </row>
    <row r="158" spans="1:19" x14ac:dyDescent="0.2">
      <c r="A158" s="4">
        <v>728</v>
      </c>
      <c r="B158" s="3">
        <v>1</v>
      </c>
      <c r="C158" s="3" t="s">
        <v>342</v>
      </c>
      <c r="D158" s="3" t="s">
        <v>89</v>
      </c>
      <c r="E158" s="3" t="s">
        <v>21</v>
      </c>
      <c r="F158" s="3" t="s">
        <v>336</v>
      </c>
      <c r="H158" s="3" t="s">
        <v>23</v>
      </c>
      <c r="I158" s="3" t="s">
        <v>21</v>
      </c>
      <c r="J158" s="3" t="s">
        <v>337</v>
      </c>
      <c r="K158" s="3" t="s">
        <v>338</v>
      </c>
      <c r="L158" s="3" t="s">
        <v>26</v>
      </c>
      <c r="M158" s="3" t="s">
        <v>27</v>
      </c>
      <c r="N158" s="3" t="s">
        <v>28</v>
      </c>
      <c r="P158" s="3" t="s">
        <v>130</v>
      </c>
      <c r="S158" s="3" t="str">
        <f t="shared" si="2"/>
        <v>WITH ZDATA AS
(SELECT adm.UV_GESCHLECHT AS Value, 
'123' AS BusinessObjectKey, 
CASE WHEN adm.UV_GESCHLECHT=1 THEN 'GESCHLECHT_1' ELSE 'OTHER' 
END AS Characteristic
FROM ADMINISTRATIVES adm
WHERE adm.UV_TARIF IN (3,4)
) 
SELECT 'ANZ_0728_REHA' AS KeyFigureName,
'123456' AS ProcessingRunId, 
'12345' AS WaveId, 
Characteristic, BusinessObjectKey, 
COUNT(*) AS Value 
FROM ZDATA 
GROUP BY Characteristic, BusinessObjectKey
ORDER BY BusinessObjectKey;</v>
      </c>
    </row>
    <row r="159" spans="1:19" x14ac:dyDescent="0.2">
      <c r="A159" s="4">
        <v>728</v>
      </c>
      <c r="B159" s="3">
        <v>1</v>
      </c>
      <c r="C159" s="3" t="s">
        <v>342</v>
      </c>
      <c r="D159" s="3" t="s">
        <v>89</v>
      </c>
      <c r="E159" s="3" t="s">
        <v>21</v>
      </c>
      <c r="F159" s="3" t="s">
        <v>336</v>
      </c>
      <c r="H159" s="3" t="s">
        <v>23</v>
      </c>
      <c r="I159" s="3" t="s">
        <v>21</v>
      </c>
      <c r="J159" s="3" t="s">
        <v>339</v>
      </c>
      <c r="K159" s="3" t="s">
        <v>340</v>
      </c>
      <c r="L159" s="3" t="s">
        <v>26</v>
      </c>
      <c r="M159" s="3" t="s">
        <v>27</v>
      </c>
      <c r="N159" s="3" t="s">
        <v>28</v>
      </c>
      <c r="P159" s="3" t="s">
        <v>130</v>
      </c>
      <c r="S159" s="3" t="str">
        <f t="shared" si="2"/>
        <v>WITH ZDATA AS
(SELECT adm.UV_GESCHLECHT AS Value, 
'123' AS BusinessObjectKey, 
CASE WHEN adm.UV_GESCHLECHT=2 THEN 'GESCHLECHT_2' ELSE 'OTHER' 
END AS Characteristic
FROM ADMINISTRATIVES adm
WHERE adm.UV_TARIF IN (3,4)
) 
SELECT 'ANZ_0728_REHA' AS KeyFigureName,
'123456' AS ProcessingRunId, 
'12345' AS WaveId, 
Characteristic, BusinessObjectKey, 
COUNT(*) AS Value 
FROM ZDATA 
GROUP BY Characteristic, BusinessObjectKey
ORDER BY BusinessObjectKey;</v>
      </c>
    </row>
    <row r="160" spans="1:19" x14ac:dyDescent="0.2">
      <c r="A160" s="4">
        <v>728</v>
      </c>
      <c r="B160" s="3">
        <v>2</v>
      </c>
      <c r="C160" s="3" t="s">
        <v>343</v>
      </c>
      <c r="D160" s="3" t="s">
        <v>344</v>
      </c>
      <c r="E160" s="3" t="s">
        <v>21</v>
      </c>
      <c r="F160" s="3" t="s">
        <v>39</v>
      </c>
      <c r="G160" s="3" t="s">
        <v>40</v>
      </c>
      <c r="I160" s="3" t="s">
        <v>41</v>
      </c>
      <c r="M160" s="3" t="s">
        <v>345</v>
      </c>
      <c r="N160" s="3" t="s">
        <v>43</v>
      </c>
      <c r="O160" s="3" t="s">
        <v>346</v>
      </c>
      <c r="S160" s="3" t="str">
        <f t="shared" si="2"/>
        <v>WITH ZDATA AS
(SELECT NVL(kfc.VALUE,0)-NVL(kfc2.VALUE,0) AS Value, 
'123' AS BusinessObjectKey, 
kfc.CHARACTERISTIC AS Characteristic
FROM ANZ_0728_AKUT kfc
JOIN PDP_ANZ_0728_AKUT kfc2 ON kfc.BO_KEY = kfc2.BO_KEY AND kfc.CHARACTERISTIC = kfc2.CHARACTERISTIC
) 
SELECT 'VGL_ABS_0728_AKUT' AS KeyFigureName,
'123456' AS ProcessingRunId, 
'12345' AS WaveId, 
Characteristic, BusinessObjectKey, 
Value AS Value 
FROM ZDATA 
ORDER BY BusinessObjectKey;</v>
      </c>
    </row>
    <row r="161" spans="1:19" x14ac:dyDescent="0.2">
      <c r="A161" s="4">
        <v>728</v>
      </c>
      <c r="B161" s="3">
        <v>2</v>
      </c>
      <c r="C161" s="3" t="s">
        <v>347</v>
      </c>
      <c r="D161" s="3" t="s">
        <v>348</v>
      </c>
      <c r="E161" s="3" t="s">
        <v>21</v>
      </c>
      <c r="F161" s="3" t="s">
        <v>39</v>
      </c>
      <c r="G161" s="3" t="s">
        <v>40</v>
      </c>
      <c r="I161" s="3" t="s">
        <v>41</v>
      </c>
      <c r="M161" s="3" t="s">
        <v>349</v>
      </c>
      <c r="N161" s="3" t="s">
        <v>43</v>
      </c>
      <c r="O161" s="3" t="s">
        <v>350</v>
      </c>
      <c r="S161" s="3" t="str">
        <f t="shared" si="2"/>
        <v>WITH ZDATA AS
(SELECT NVL(kfc.VALUE,0)-NVL(kfc2.VALUE,0) AS Value, 
'123' AS BusinessObjectKey, 
kfc.CHARACTERISTIC AS Characteristic
FROM ANZ_0728_PSY kfc
JOIN PDP_ANZ_0728_PSY kfc2 ON kfc.BO_KEY = kfc2.BO_KEY AND kfc.CHARACTERISTIC = kfc2.CHARACTERISTIC
) 
SELECT 'VGL_ABS_0728_PSY' AS KeyFigureName,
'123456' AS ProcessingRunId, 
'12345' AS WaveId, 
Characteristic, BusinessObjectKey, 
Value AS Value 
FROM ZDATA 
ORDER BY BusinessObjectKey;</v>
      </c>
    </row>
    <row r="162" spans="1:19" x14ac:dyDescent="0.2">
      <c r="A162" s="4">
        <v>728</v>
      </c>
      <c r="B162" s="3">
        <v>2</v>
      </c>
      <c r="C162" s="3" t="s">
        <v>351</v>
      </c>
      <c r="D162" s="3" t="s">
        <v>352</v>
      </c>
      <c r="E162" s="3" t="s">
        <v>21</v>
      </c>
      <c r="F162" s="3" t="s">
        <v>39</v>
      </c>
      <c r="G162" s="3" t="s">
        <v>40</v>
      </c>
      <c r="I162" s="3" t="s">
        <v>41</v>
      </c>
      <c r="M162" s="3" t="s">
        <v>353</v>
      </c>
      <c r="N162" s="3" t="s">
        <v>43</v>
      </c>
      <c r="O162" s="3" t="s">
        <v>354</v>
      </c>
      <c r="S162" s="3" t="str">
        <f t="shared" si="2"/>
        <v>WITH ZDATA AS
(SELECT NVL(kfc.VALUE,0)-NVL(kfc2.VALUE,0) AS Value, 
'123' AS BusinessObjectKey, 
kfc.CHARACTERISTIC AS Characteristic
FROM ANZ_0728_REHA kfc
JOIN PDP_ANZ_0728_REHA kfc2 ON kfc.BO_KEY = kfc2.BO_KEY AND kfc.CHARACTERISTIC = kfc2.CHARACTERISTIC
) 
SELECT 'VGL_ABS_0728_REHA' AS KeyFigureName,
'123456' AS ProcessingRunId, 
'12345' AS WaveId, 
Characteristic, BusinessObjectKey, 
Value AS Value 
FROM ZDATA 
ORDER BY BusinessObjectKey;</v>
      </c>
    </row>
    <row r="163" spans="1:19" x14ac:dyDescent="0.2">
      <c r="A163" s="4">
        <v>728</v>
      </c>
      <c r="B163" s="3">
        <v>2</v>
      </c>
      <c r="C163" s="3" t="s">
        <v>355</v>
      </c>
      <c r="D163" s="3" t="s">
        <v>344</v>
      </c>
      <c r="E163" s="3" t="s">
        <v>21</v>
      </c>
      <c r="F163" s="3" t="s">
        <v>54</v>
      </c>
      <c r="G163" s="3" t="s">
        <v>40</v>
      </c>
      <c r="I163" s="3" t="s">
        <v>41</v>
      </c>
      <c r="M163" s="3" t="s">
        <v>345</v>
      </c>
      <c r="N163" s="3" t="s">
        <v>43</v>
      </c>
      <c r="O163" s="3" t="s">
        <v>346</v>
      </c>
      <c r="P163" s="3" t="s">
        <v>55</v>
      </c>
      <c r="S163" s="3" t="str">
        <f t="shared" si="2"/>
        <v>WITH ZDATA AS
(SELECT TRUNC((NVL(kfc.VALUE,0)-NVL(kfc2.VALUE,0)) / kfc2.VALUE,10) AS Value, 
'123' AS BusinessObjectKey, 
kfc.CHARACTERISTIC AS Characteristic
FROM ANZ_0728_AKUT kfc
JOIN PDP_ANZ_0728_AKUT kfc2 ON kfc.BO_KEY = kfc2.BO_KEY AND kfc.CHARACTERISTIC = kfc2.CHARACTERISTIC
WHERE kfc2.VALUE &lt;&gt; 0 AND kfc2.VALUE IS NOT NULL
) 
SELECT 'VGL_REL_0728_AKUT' AS KeyFigureName,
'123456' AS ProcessingRunId, 
'12345' AS WaveId, 
Characteristic, BusinessObjectKey, 
Value AS Value 
FROM ZDATA 
ORDER BY BusinessObjectKey;</v>
      </c>
    </row>
    <row r="164" spans="1:19" x14ac:dyDescent="0.2">
      <c r="A164" s="4">
        <v>728</v>
      </c>
      <c r="B164" s="3">
        <v>2</v>
      </c>
      <c r="C164" s="3" t="s">
        <v>356</v>
      </c>
      <c r="D164" s="3" t="s">
        <v>348</v>
      </c>
      <c r="E164" s="3" t="s">
        <v>21</v>
      </c>
      <c r="F164" s="3" t="s">
        <v>54</v>
      </c>
      <c r="G164" s="3" t="s">
        <v>40</v>
      </c>
      <c r="I164" s="3" t="s">
        <v>41</v>
      </c>
      <c r="M164" s="3" t="s">
        <v>349</v>
      </c>
      <c r="N164" s="3" t="s">
        <v>43</v>
      </c>
      <c r="O164" s="3" t="s">
        <v>350</v>
      </c>
      <c r="P164" s="3" t="s">
        <v>55</v>
      </c>
      <c r="S164" s="3" t="str">
        <f t="shared" si="2"/>
        <v>WITH ZDATA AS
(SELECT TRUNC((NVL(kfc.VALUE,0)-NVL(kfc2.VALUE,0)) / kfc2.VALUE,10) AS Value, 
'123' AS BusinessObjectKey, 
kfc.CHARACTERISTIC AS Characteristic
FROM ANZ_0728_PSY kfc
JOIN PDP_ANZ_0728_PSY kfc2 ON kfc.BO_KEY = kfc2.BO_KEY AND kfc.CHARACTERISTIC = kfc2.CHARACTERISTIC
WHERE kfc2.VALUE &lt;&gt; 0 AND kfc2.VALUE IS NOT NULL
) 
SELECT 'VGL_REL_0728_PSY' AS KeyFigureName,
'123456' AS ProcessingRunId, 
'12345' AS WaveId, 
Characteristic, BusinessObjectKey, 
Value AS Value 
FROM ZDATA 
ORDER BY BusinessObjectKey;</v>
      </c>
    </row>
    <row r="165" spans="1:19" x14ac:dyDescent="0.2">
      <c r="A165" s="4">
        <v>728</v>
      </c>
      <c r="B165" s="3">
        <v>2</v>
      </c>
      <c r="C165" s="3" t="s">
        <v>357</v>
      </c>
      <c r="D165" s="3" t="s">
        <v>352</v>
      </c>
      <c r="E165" s="3" t="s">
        <v>21</v>
      </c>
      <c r="F165" s="3" t="s">
        <v>54</v>
      </c>
      <c r="G165" s="3" t="s">
        <v>40</v>
      </c>
      <c r="I165" s="3" t="s">
        <v>41</v>
      </c>
      <c r="M165" s="3" t="s">
        <v>353</v>
      </c>
      <c r="N165" s="3" t="s">
        <v>43</v>
      </c>
      <c r="O165" s="3" t="s">
        <v>354</v>
      </c>
      <c r="P165" s="3" t="s">
        <v>55</v>
      </c>
      <c r="S165" s="3" t="str">
        <f t="shared" si="2"/>
        <v>WITH ZDATA AS
(SELECT TRUNC((NVL(kfc.VALUE,0)-NVL(kfc2.VALUE,0)) / kfc2.VALUE,10) AS Value, 
'123' AS BusinessObjectKey, 
kfc.CHARACTERISTIC AS Characteristic
FROM ANZ_0728_REHA kfc
JOIN PDP_ANZ_0728_REHA kfc2 ON kfc.BO_KEY = kfc2.BO_KEY AND kfc.CHARACTERISTIC = kfc2.CHARACTERISTIC
WHERE kfc2.VALUE &lt;&gt; 0 AND kfc2.VALUE IS NOT NULL
) 
SELECT 'VGL_REL_0728_REHA' AS KeyFigureName,
'123456' AS ProcessingRunId, 
'12345' AS WaveId, 
Characteristic, BusinessObjectKey, 
Value AS Value 
FROM ZDATA 
ORDER BY BusinessObjectKey;</v>
      </c>
    </row>
    <row r="166" spans="1:19" x14ac:dyDescent="0.2">
      <c r="A166" s="4">
        <v>729</v>
      </c>
      <c r="B166" s="3">
        <v>1</v>
      </c>
      <c r="C166" s="3" t="s">
        <v>358</v>
      </c>
      <c r="D166" s="3" t="s">
        <v>89</v>
      </c>
      <c r="E166" s="3" t="s">
        <v>21</v>
      </c>
      <c r="F166" s="3" t="s">
        <v>359</v>
      </c>
      <c r="H166" s="3" t="s">
        <v>23</v>
      </c>
      <c r="I166" s="3" t="s">
        <v>21</v>
      </c>
      <c r="J166" s="3" t="s">
        <v>360</v>
      </c>
      <c r="K166" s="3" t="s">
        <v>361</v>
      </c>
      <c r="L166" s="3" t="s">
        <v>26</v>
      </c>
      <c r="M166" s="3" t="s">
        <v>27</v>
      </c>
      <c r="N166" s="3" t="s">
        <v>28</v>
      </c>
      <c r="P166" s="3" t="s">
        <v>126</v>
      </c>
      <c r="S166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7" spans="1:19" x14ac:dyDescent="0.2">
      <c r="A167" s="4">
        <v>729</v>
      </c>
      <c r="B167" s="3">
        <v>1</v>
      </c>
      <c r="C167" s="3" t="s">
        <v>358</v>
      </c>
      <c r="D167" s="3" t="s">
        <v>89</v>
      </c>
      <c r="E167" s="3" t="s">
        <v>21</v>
      </c>
      <c r="F167" s="3" t="s">
        <v>359</v>
      </c>
      <c r="H167" s="3" t="s">
        <v>23</v>
      </c>
      <c r="I167" s="3" t="s">
        <v>21</v>
      </c>
      <c r="J167" s="3" t="s">
        <v>362</v>
      </c>
      <c r="K167" s="3" t="s">
        <v>363</v>
      </c>
      <c r="L167" s="3" t="s">
        <v>26</v>
      </c>
      <c r="M167" s="3" t="s">
        <v>27</v>
      </c>
      <c r="N167" s="3" t="s">
        <v>28</v>
      </c>
      <c r="P167" s="3" t="s">
        <v>126</v>
      </c>
      <c r="S167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8" spans="1:19" x14ac:dyDescent="0.2">
      <c r="A168" s="4">
        <v>729</v>
      </c>
      <c r="B168" s="3">
        <v>1</v>
      </c>
      <c r="C168" s="3" t="s">
        <v>358</v>
      </c>
      <c r="D168" s="3" t="s">
        <v>89</v>
      </c>
      <c r="E168" s="3" t="s">
        <v>21</v>
      </c>
      <c r="F168" s="3" t="s">
        <v>359</v>
      </c>
      <c r="H168" s="3" t="s">
        <v>23</v>
      </c>
      <c r="I168" s="3" t="s">
        <v>21</v>
      </c>
      <c r="J168" s="3" t="s">
        <v>364</v>
      </c>
      <c r="K168" s="3" t="s">
        <v>365</v>
      </c>
      <c r="L168" s="3" t="s">
        <v>26</v>
      </c>
      <c r="M168" s="3" t="s">
        <v>27</v>
      </c>
      <c r="N168" s="3" t="s">
        <v>28</v>
      </c>
      <c r="P168" s="3" t="s">
        <v>126</v>
      </c>
      <c r="S168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9" spans="1:19" x14ac:dyDescent="0.2">
      <c r="A169" s="4">
        <v>729</v>
      </c>
      <c r="B169" s="3">
        <v>1</v>
      </c>
      <c r="C169" s="3" t="s">
        <v>358</v>
      </c>
      <c r="D169" s="3" t="s">
        <v>89</v>
      </c>
      <c r="E169" s="3" t="s">
        <v>21</v>
      </c>
      <c r="F169" s="3" t="s">
        <v>359</v>
      </c>
      <c r="H169" s="3" t="s">
        <v>23</v>
      </c>
      <c r="I169" s="3" t="s">
        <v>21</v>
      </c>
      <c r="J169" s="3" t="s">
        <v>366</v>
      </c>
      <c r="K169" s="3" t="s">
        <v>367</v>
      </c>
      <c r="L169" s="3" t="s">
        <v>26</v>
      </c>
      <c r="M169" s="3" t="s">
        <v>27</v>
      </c>
      <c r="N169" s="3" t="s">
        <v>28</v>
      </c>
      <c r="P169" s="3" t="s">
        <v>126</v>
      </c>
      <c r="S169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70" spans="1:19" x14ac:dyDescent="0.2">
      <c r="A170" s="4">
        <v>729</v>
      </c>
      <c r="B170" s="3">
        <v>1</v>
      </c>
      <c r="C170" s="3" t="s">
        <v>358</v>
      </c>
      <c r="D170" s="3" t="s">
        <v>89</v>
      </c>
      <c r="E170" s="3" t="s">
        <v>21</v>
      </c>
      <c r="F170" s="3" t="s">
        <v>359</v>
      </c>
      <c r="H170" s="3" t="s">
        <v>23</v>
      </c>
      <c r="I170" s="3" t="s">
        <v>21</v>
      </c>
      <c r="J170" s="3" t="s">
        <v>368</v>
      </c>
      <c r="K170" s="3" t="s">
        <v>369</v>
      </c>
      <c r="L170" s="3" t="s">
        <v>26</v>
      </c>
      <c r="M170" s="3" t="s">
        <v>27</v>
      </c>
      <c r="N170" s="3" t="s">
        <v>28</v>
      </c>
      <c r="P170" s="3" t="s">
        <v>126</v>
      </c>
      <c r="S170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71" spans="1:19" x14ac:dyDescent="0.2">
      <c r="A171" s="4">
        <v>729</v>
      </c>
      <c r="B171" s="3">
        <v>1</v>
      </c>
      <c r="C171" s="3" t="s">
        <v>370</v>
      </c>
      <c r="D171" s="3" t="s">
        <v>89</v>
      </c>
      <c r="E171" s="3" t="s">
        <v>21</v>
      </c>
      <c r="F171" s="3" t="s">
        <v>359</v>
      </c>
      <c r="H171" s="3" t="s">
        <v>23</v>
      </c>
      <c r="I171" s="3" t="s">
        <v>21</v>
      </c>
      <c r="J171" s="3" t="s">
        <v>360</v>
      </c>
      <c r="K171" s="3" t="s">
        <v>361</v>
      </c>
      <c r="L171" s="3" t="s">
        <v>26</v>
      </c>
      <c r="M171" s="3" t="s">
        <v>27</v>
      </c>
      <c r="N171" s="3" t="s">
        <v>28</v>
      </c>
      <c r="P171" s="3" t="s">
        <v>128</v>
      </c>
      <c r="S171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2" spans="1:19" x14ac:dyDescent="0.2">
      <c r="A172" s="4">
        <v>729</v>
      </c>
      <c r="B172" s="3">
        <v>1</v>
      </c>
      <c r="C172" s="3" t="s">
        <v>370</v>
      </c>
      <c r="D172" s="3" t="s">
        <v>89</v>
      </c>
      <c r="E172" s="3" t="s">
        <v>21</v>
      </c>
      <c r="F172" s="3" t="s">
        <v>359</v>
      </c>
      <c r="H172" s="3" t="s">
        <v>23</v>
      </c>
      <c r="I172" s="3" t="s">
        <v>21</v>
      </c>
      <c r="J172" s="3" t="s">
        <v>362</v>
      </c>
      <c r="K172" s="3" t="s">
        <v>363</v>
      </c>
      <c r="L172" s="3" t="s">
        <v>26</v>
      </c>
      <c r="M172" s="3" t="s">
        <v>27</v>
      </c>
      <c r="N172" s="3" t="s">
        <v>28</v>
      </c>
      <c r="P172" s="3" t="s">
        <v>128</v>
      </c>
      <c r="S172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3" spans="1:19" x14ac:dyDescent="0.2">
      <c r="A173" s="4">
        <v>729</v>
      </c>
      <c r="B173" s="3">
        <v>1</v>
      </c>
      <c r="C173" s="3" t="s">
        <v>370</v>
      </c>
      <c r="D173" s="3" t="s">
        <v>89</v>
      </c>
      <c r="E173" s="3" t="s">
        <v>21</v>
      </c>
      <c r="F173" s="3" t="s">
        <v>359</v>
      </c>
      <c r="H173" s="3" t="s">
        <v>23</v>
      </c>
      <c r="I173" s="3" t="s">
        <v>21</v>
      </c>
      <c r="J173" s="3" t="s">
        <v>364</v>
      </c>
      <c r="K173" s="3" t="s">
        <v>365</v>
      </c>
      <c r="L173" s="3" t="s">
        <v>26</v>
      </c>
      <c r="M173" s="3" t="s">
        <v>27</v>
      </c>
      <c r="N173" s="3" t="s">
        <v>28</v>
      </c>
      <c r="P173" s="3" t="s">
        <v>128</v>
      </c>
      <c r="S173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4" spans="1:19" x14ac:dyDescent="0.2">
      <c r="A174" s="4">
        <v>729</v>
      </c>
      <c r="B174" s="3">
        <v>1</v>
      </c>
      <c r="C174" s="3" t="s">
        <v>370</v>
      </c>
      <c r="D174" s="3" t="s">
        <v>89</v>
      </c>
      <c r="E174" s="3" t="s">
        <v>21</v>
      </c>
      <c r="F174" s="3" t="s">
        <v>359</v>
      </c>
      <c r="H174" s="3" t="s">
        <v>23</v>
      </c>
      <c r="I174" s="3" t="s">
        <v>21</v>
      </c>
      <c r="J174" s="3" t="s">
        <v>366</v>
      </c>
      <c r="K174" s="3" t="s">
        <v>367</v>
      </c>
      <c r="L174" s="3" t="s">
        <v>26</v>
      </c>
      <c r="M174" s="3" t="s">
        <v>27</v>
      </c>
      <c r="N174" s="3" t="s">
        <v>28</v>
      </c>
      <c r="P174" s="3" t="s">
        <v>128</v>
      </c>
      <c r="S174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5" spans="1:19" x14ac:dyDescent="0.2">
      <c r="A175" s="4">
        <v>729</v>
      </c>
      <c r="B175" s="3">
        <v>1</v>
      </c>
      <c r="C175" s="3" t="s">
        <v>370</v>
      </c>
      <c r="D175" s="3" t="s">
        <v>89</v>
      </c>
      <c r="E175" s="3" t="s">
        <v>21</v>
      </c>
      <c r="F175" s="3" t="s">
        <v>359</v>
      </c>
      <c r="H175" s="3" t="s">
        <v>23</v>
      </c>
      <c r="I175" s="3" t="s">
        <v>21</v>
      </c>
      <c r="J175" s="3" t="s">
        <v>368</v>
      </c>
      <c r="K175" s="3" t="s">
        <v>369</v>
      </c>
      <c r="L175" s="3" t="s">
        <v>26</v>
      </c>
      <c r="M175" s="3" t="s">
        <v>27</v>
      </c>
      <c r="N175" s="3" t="s">
        <v>28</v>
      </c>
      <c r="P175" s="3" t="s">
        <v>128</v>
      </c>
      <c r="S175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6" spans="1:19" x14ac:dyDescent="0.2">
      <c r="A176" s="4">
        <v>729</v>
      </c>
      <c r="B176" s="3">
        <v>1</v>
      </c>
      <c r="C176" s="3" t="s">
        <v>371</v>
      </c>
      <c r="D176" s="3" t="s">
        <v>89</v>
      </c>
      <c r="E176" s="3" t="s">
        <v>21</v>
      </c>
      <c r="F176" s="3" t="s">
        <v>359</v>
      </c>
      <c r="H176" s="3" t="s">
        <v>23</v>
      </c>
      <c r="I176" s="3" t="s">
        <v>21</v>
      </c>
      <c r="J176" s="3" t="s">
        <v>360</v>
      </c>
      <c r="K176" s="3" t="s">
        <v>361</v>
      </c>
      <c r="L176" s="3" t="s">
        <v>26</v>
      </c>
      <c r="M176" s="3" t="s">
        <v>27</v>
      </c>
      <c r="N176" s="3" t="s">
        <v>28</v>
      </c>
      <c r="P176" s="3" t="s">
        <v>130</v>
      </c>
      <c r="S176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7" spans="1:19" x14ac:dyDescent="0.2">
      <c r="A177" s="4">
        <v>729</v>
      </c>
      <c r="B177" s="3">
        <v>1</v>
      </c>
      <c r="C177" s="3" t="s">
        <v>371</v>
      </c>
      <c r="D177" s="3" t="s">
        <v>89</v>
      </c>
      <c r="E177" s="3" t="s">
        <v>21</v>
      </c>
      <c r="F177" s="3" t="s">
        <v>359</v>
      </c>
      <c r="H177" s="3" t="s">
        <v>23</v>
      </c>
      <c r="I177" s="3" t="s">
        <v>21</v>
      </c>
      <c r="J177" s="3" t="s">
        <v>362</v>
      </c>
      <c r="K177" s="3" t="s">
        <v>363</v>
      </c>
      <c r="L177" s="3" t="s">
        <v>26</v>
      </c>
      <c r="M177" s="3" t="s">
        <v>27</v>
      </c>
      <c r="N177" s="3" t="s">
        <v>28</v>
      </c>
      <c r="P177" s="3" t="s">
        <v>130</v>
      </c>
      <c r="S177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8" spans="1:19" x14ac:dyDescent="0.2">
      <c r="A178" s="4">
        <v>729</v>
      </c>
      <c r="B178" s="3">
        <v>1</v>
      </c>
      <c r="C178" s="3" t="s">
        <v>371</v>
      </c>
      <c r="D178" s="3" t="s">
        <v>89</v>
      </c>
      <c r="E178" s="3" t="s">
        <v>21</v>
      </c>
      <c r="F178" s="3" t="s">
        <v>359</v>
      </c>
      <c r="H178" s="3" t="s">
        <v>23</v>
      </c>
      <c r="I178" s="3" t="s">
        <v>21</v>
      </c>
      <c r="J178" s="3" t="s">
        <v>364</v>
      </c>
      <c r="K178" s="3" t="s">
        <v>365</v>
      </c>
      <c r="L178" s="3" t="s">
        <v>26</v>
      </c>
      <c r="M178" s="3" t="s">
        <v>27</v>
      </c>
      <c r="N178" s="3" t="s">
        <v>28</v>
      </c>
      <c r="P178" s="3" t="s">
        <v>130</v>
      </c>
      <c r="S178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9" spans="1:19" x14ac:dyDescent="0.2">
      <c r="A179" s="4">
        <v>729</v>
      </c>
      <c r="B179" s="3">
        <v>1</v>
      </c>
      <c r="C179" s="3" t="s">
        <v>371</v>
      </c>
      <c r="D179" s="3" t="s">
        <v>89</v>
      </c>
      <c r="E179" s="3" t="s">
        <v>21</v>
      </c>
      <c r="F179" s="3" t="s">
        <v>359</v>
      </c>
      <c r="H179" s="3" t="s">
        <v>23</v>
      </c>
      <c r="I179" s="3" t="s">
        <v>21</v>
      </c>
      <c r="J179" s="3" t="s">
        <v>366</v>
      </c>
      <c r="K179" s="3" t="s">
        <v>367</v>
      </c>
      <c r="L179" s="3" t="s">
        <v>26</v>
      </c>
      <c r="M179" s="3" t="s">
        <v>27</v>
      </c>
      <c r="N179" s="3" t="s">
        <v>28</v>
      </c>
      <c r="P179" s="3" t="s">
        <v>130</v>
      </c>
      <c r="S179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80" spans="1:19" x14ac:dyDescent="0.2">
      <c r="A180" s="4">
        <v>729</v>
      </c>
      <c r="B180" s="3">
        <v>1</v>
      </c>
      <c r="C180" s="3" t="s">
        <v>371</v>
      </c>
      <c r="D180" s="3" t="s">
        <v>89</v>
      </c>
      <c r="E180" s="3" t="s">
        <v>21</v>
      </c>
      <c r="F180" s="3" t="s">
        <v>359</v>
      </c>
      <c r="H180" s="3" t="s">
        <v>23</v>
      </c>
      <c r="I180" s="3" t="s">
        <v>21</v>
      </c>
      <c r="J180" s="3" t="s">
        <v>368</v>
      </c>
      <c r="K180" s="3" t="s">
        <v>369</v>
      </c>
      <c r="L180" s="3" t="s">
        <v>26</v>
      </c>
      <c r="M180" s="3" t="s">
        <v>27</v>
      </c>
      <c r="N180" s="3" t="s">
        <v>28</v>
      </c>
      <c r="P180" s="3" t="s">
        <v>130</v>
      </c>
      <c r="S180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81" spans="1:19" x14ac:dyDescent="0.2">
      <c r="A181" s="4">
        <v>729</v>
      </c>
      <c r="B181" s="3">
        <v>2</v>
      </c>
      <c r="C181" s="3" t="s">
        <v>372</v>
      </c>
      <c r="D181" s="3" t="s">
        <v>373</v>
      </c>
      <c r="E181" s="3" t="s">
        <v>21</v>
      </c>
      <c r="F181" s="3" t="s">
        <v>39</v>
      </c>
      <c r="G181" s="3" t="s">
        <v>40</v>
      </c>
      <c r="I181" s="3" t="s">
        <v>41</v>
      </c>
      <c r="M181" s="3" t="s">
        <v>374</v>
      </c>
      <c r="N181" s="3" t="s">
        <v>43</v>
      </c>
      <c r="O181" s="3" t="s">
        <v>375</v>
      </c>
      <c r="S181" s="3" t="str">
        <f t="shared" si="2"/>
        <v>WITH ZDATA AS
(SELECT NVL(kfc.VALUE,0)-NVL(kfc2.VALUE,0) AS Value, 
'123' AS BusinessObjectKey, 
kfc.CHARACTERISTIC AS Characteristic
FROM ANZ_0729_AKUT kfc
JOIN PDP_ANZ_0729_AKUT kfc2 ON kfc.BO_KEY = kfc2.BO_KEY AND kfc.CHARACTERISTIC = kfc2.CHARACTERISTIC
) 
SELECT 'VGL_ABS_0729_AKUT' AS KeyFigureName,
'123456' AS ProcessingRunId, 
'12345' AS WaveId, 
Characteristic, BusinessObjectKey, 
Value AS Value 
FROM ZDATA 
ORDER BY BusinessObjectKey;</v>
      </c>
    </row>
    <row r="182" spans="1:19" x14ac:dyDescent="0.2">
      <c r="A182" s="4">
        <v>729</v>
      </c>
      <c r="B182" s="3">
        <v>2</v>
      </c>
      <c r="C182" s="3" t="s">
        <v>376</v>
      </c>
      <c r="D182" s="3" t="s">
        <v>377</v>
      </c>
      <c r="E182" s="3" t="s">
        <v>21</v>
      </c>
      <c r="F182" s="3" t="s">
        <v>39</v>
      </c>
      <c r="G182" s="3" t="s">
        <v>40</v>
      </c>
      <c r="I182" s="3" t="s">
        <v>41</v>
      </c>
      <c r="M182" s="3" t="s">
        <v>378</v>
      </c>
      <c r="N182" s="3" t="s">
        <v>43</v>
      </c>
      <c r="O182" s="3" t="s">
        <v>379</v>
      </c>
      <c r="S182" s="3" t="str">
        <f t="shared" si="2"/>
        <v>WITH ZDATA AS
(SELECT NVL(kfc.VALUE,0)-NVL(kfc2.VALUE,0) AS Value, 
'123' AS BusinessObjectKey, 
kfc.CHARACTERISTIC AS Characteristic
FROM ANZ_0729_PSY kfc
JOIN PDP_ANZ_0729_PSY kfc2 ON kfc.BO_KEY = kfc2.BO_KEY AND kfc.CHARACTERISTIC = kfc2.CHARACTERISTIC
) 
SELECT 'VGL_ABS_0729_PSY' AS KeyFigureName,
'123456' AS ProcessingRunId, 
'12345' AS WaveId, 
Characteristic, BusinessObjectKey, 
Value AS Value 
FROM ZDATA 
ORDER BY BusinessObjectKey;</v>
      </c>
    </row>
    <row r="183" spans="1:19" x14ac:dyDescent="0.2">
      <c r="A183" s="4">
        <v>729</v>
      </c>
      <c r="B183" s="3">
        <v>2</v>
      </c>
      <c r="C183" s="3" t="s">
        <v>380</v>
      </c>
      <c r="D183" s="3" t="s">
        <v>381</v>
      </c>
      <c r="E183" s="3" t="s">
        <v>21</v>
      </c>
      <c r="F183" s="3" t="s">
        <v>39</v>
      </c>
      <c r="G183" s="3" t="s">
        <v>40</v>
      </c>
      <c r="I183" s="3" t="s">
        <v>41</v>
      </c>
      <c r="M183" s="3" t="s">
        <v>382</v>
      </c>
      <c r="N183" s="3" t="s">
        <v>43</v>
      </c>
      <c r="O183" s="3" t="s">
        <v>383</v>
      </c>
      <c r="S183" s="3" t="str">
        <f t="shared" si="2"/>
        <v>WITH ZDATA AS
(SELECT NVL(kfc.VALUE,0)-NVL(kfc2.VALUE,0) AS Value, 
'123' AS BusinessObjectKey, 
kfc.CHARACTERISTIC AS Characteristic
FROM ANZ_0729_REHA kfc
JOIN PDP_ANZ_0729_REHA kfc2 ON kfc.BO_KEY = kfc2.BO_KEY AND kfc.CHARACTERISTIC = kfc2.CHARACTERISTIC
) 
SELECT 'VGL_ABS_0729_REHA' AS KeyFigureName,
'123456' AS ProcessingRunId, 
'12345' AS WaveId, 
Characteristic, BusinessObjectKey, 
Value AS Value 
FROM ZDATA 
ORDER BY BusinessObjectKey;</v>
      </c>
    </row>
    <row r="184" spans="1:19" x14ac:dyDescent="0.2">
      <c r="A184" s="4">
        <v>729</v>
      </c>
      <c r="B184" s="3">
        <v>2</v>
      </c>
      <c r="C184" s="3" t="s">
        <v>384</v>
      </c>
      <c r="D184" s="3" t="s">
        <v>373</v>
      </c>
      <c r="E184" s="3" t="s">
        <v>21</v>
      </c>
      <c r="F184" s="3" t="s">
        <v>54</v>
      </c>
      <c r="G184" s="3" t="s">
        <v>40</v>
      </c>
      <c r="I184" s="3" t="s">
        <v>41</v>
      </c>
      <c r="M184" s="3" t="s">
        <v>374</v>
      </c>
      <c r="N184" s="3" t="s">
        <v>43</v>
      </c>
      <c r="O184" s="3" t="s">
        <v>375</v>
      </c>
      <c r="P184" s="3" t="s">
        <v>55</v>
      </c>
      <c r="S184" s="3" t="str">
        <f t="shared" si="2"/>
        <v>WITH ZDATA AS
(SELECT TRUNC((NVL(kfc.VALUE,0)-NVL(kfc2.VALUE,0)) / kfc2.VALUE,10) AS Value, 
'123' AS BusinessObjectKey, 
kfc.CHARACTERISTIC AS Characteristic
FROM ANZ_0729_AKUT kfc
JOIN PDP_ANZ_0729_AKUT kfc2 ON kfc.BO_KEY = kfc2.BO_KEY AND kfc.CHARACTERISTIC = kfc2.CHARACTERISTIC
WHERE kfc2.VALUE &lt;&gt; 0 AND kfc2.VALUE IS NOT NULL
) 
SELECT 'VGL_REL_0729_AKUT' AS KeyFigureName,
'123456' AS ProcessingRunId, 
'12345' AS WaveId, 
Characteristic, BusinessObjectKey, 
Value AS Value 
FROM ZDATA 
ORDER BY BusinessObjectKey;</v>
      </c>
    </row>
    <row r="185" spans="1:19" x14ac:dyDescent="0.2">
      <c r="A185" s="4">
        <v>729</v>
      </c>
      <c r="B185" s="3">
        <v>2</v>
      </c>
      <c r="C185" s="3" t="s">
        <v>385</v>
      </c>
      <c r="D185" s="3" t="s">
        <v>377</v>
      </c>
      <c r="E185" s="3" t="s">
        <v>21</v>
      </c>
      <c r="F185" s="3" t="s">
        <v>54</v>
      </c>
      <c r="G185" s="3" t="s">
        <v>40</v>
      </c>
      <c r="I185" s="3" t="s">
        <v>41</v>
      </c>
      <c r="M185" s="3" t="s">
        <v>378</v>
      </c>
      <c r="N185" s="3" t="s">
        <v>43</v>
      </c>
      <c r="O185" s="3" t="s">
        <v>379</v>
      </c>
      <c r="P185" s="3" t="s">
        <v>55</v>
      </c>
      <c r="S185" s="3" t="str">
        <f t="shared" si="2"/>
        <v>WITH ZDATA AS
(SELECT TRUNC((NVL(kfc.VALUE,0)-NVL(kfc2.VALUE,0)) / kfc2.VALUE,10) AS Value, 
'123' AS BusinessObjectKey, 
kfc.CHARACTERISTIC AS Characteristic
FROM ANZ_0729_PSY kfc
JOIN PDP_ANZ_0729_PSY kfc2 ON kfc.BO_KEY = kfc2.BO_KEY AND kfc.CHARACTERISTIC = kfc2.CHARACTERISTIC
WHERE kfc2.VALUE &lt;&gt; 0 AND kfc2.VALUE IS NOT NULL
) 
SELECT 'VGL_REL_0729_PSY' AS KeyFigureName,
'123456' AS ProcessingRunId, 
'12345' AS WaveId, 
Characteristic, BusinessObjectKey, 
Value AS Value 
FROM ZDATA 
ORDER BY BusinessObjectKey;</v>
      </c>
    </row>
    <row r="186" spans="1:19" x14ac:dyDescent="0.2">
      <c r="A186" s="4">
        <v>729</v>
      </c>
      <c r="B186" s="3">
        <v>2</v>
      </c>
      <c r="C186" s="3" t="s">
        <v>386</v>
      </c>
      <c r="D186" s="3" t="s">
        <v>381</v>
      </c>
      <c r="E186" s="3" t="s">
        <v>21</v>
      </c>
      <c r="F186" s="3" t="s">
        <v>54</v>
      </c>
      <c r="G186" s="3" t="s">
        <v>40</v>
      </c>
      <c r="I186" s="3" t="s">
        <v>41</v>
      </c>
      <c r="M186" s="3" t="s">
        <v>382</v>
      </c>
      <c r="N186" s="3" t="s">
        <v>43</v>
      </c>
      <c r="O186" s="3" t="s">
        <v>383</v>
      </c>
      <c r="P186" s="3" t="s">
        <v>55</v>
      </c>
      <c r="S186" s="3" t="str">
        <f t="shared" si="2"/>
        <v>WITH ZDATA AS
(SELECT TRUNC((NVL(kfc.VALUE,0)-NVL(kfc2.VALUE,0)) / kfc2.VALUE,10) AS Value, 
'123' AS BusinessObjectKey, 
kfc.CHARACTERISTIC AS Characteristic
FROM ANZ_0729_REHA kfc
JOIN PDP_ANZ_0729_REHA kfc2 ON kfc.BO_KEY = kfc2.BO_KEY AND kfc.CHARACTERISTIC = kfc2.CHARACTERISTIC
WHERE kfc2.VALUE &lt;&gt; 0 AND kfc2.VALUE IS NOT NULL
) 
SELECT 'VGL_REL_0729_REHA' AS KeyFigureName,
'123456' AS ProcessingRunId, 
'12345' AS WaveId, 
Characteristic, BusinessObjectKey, 
Value AS Value 
FROM ZDATA 
ORDER BY BusinessObjectKey;</v>
      </c>
    </row>
    <row r="187" spans="1:19" x14ac:dyDescent="0.2">
      <c r="A187" s="4">
        <v>732</v>
      </c>
      <c r="B187" s="3">
        <v>1</v>
      </c>
      <c r="C187" s="3" t="s">
        <v>387</v>
      </c>
      <c r="D187" s="3" t="s">
        <v>388</v>
      </c>
      <c r="E187" s="3" t="s">
        <v>21</v>
      </c>
      <c r="F187" s="3" t="s">
        <v>389</v>
      </c>
      <c r="H187" s="3" t="s">
        <v>23</v>
      </c>
      <c r="I187" s="3" t="s">
        <v>21</v>
      </c>
      <c r="J187" s="3" t="s">
        <v>390</v>
      </c>
      <c r="K187" s="3" t="s">
        <v>391</v>
      </c>
      <c r="L187" s="3" t="s">
        <v>26</v>
      </c>
      <c r="M187" s="3" t="s">
        <v>392</v>
      </c>
      <c r="N187" s="3" t="s">
        <v>28</v>
      </c>
      <c r="S187" s="3" t="str">
        <f t="shared" si="2"/>
        <v>WITH ZDATA AS
(SELECT per.UV_AHV AS Value, 
'123' AS BusinessObjectKey, 
CASE WHEN per.UV_AHV='7569999999991' THEN 'AHV_FIKTIV' ELSE 'OTHER' 
END AS Characteristic
FROM PERSONENIDENTIFIKATOREN per
) 
SELECT 'ANZ_0732' AS KeyFigureName,
'123456' AS ProcessingRunId, 
'12345' AS WaveId, 
Characteristic, BusinessObjectKey, 
COUNT(*) AS Value 
FROM ZDATA 
GROUP BY Characteristic, BusinessObjectKey
ORDER BY BusinessObjectKey;</v>
      </c>
    </row>
    <row r="188" spans="1:19" x14ac:dyDescent="0.2">
      <c r="A188" s="4">
        <v>732</v>
      </c>
      <c r="B188" s="3">
        <v>2</v>
      </c>
      <c r="C188" s="3" t="s">
        <v>393</v>
      </c>
      <c r="D188" s="3" t="s">
        <v>387</v>
      </c>
      <c r="E188" s="3" t="s">
        <v>21</v>
      </c>
      <c r="F188" s="3" t="s">
        <v>394</v>
      </c>
      <c r="G188" s="3" t="s">
        <v>395</v>
      </c>
      <c r="I188" s="3" t="s">
        <v>41</v>
      </c>
      <c r="M188" s="3" t="s">
        <v>396</v>
      </c>
      <c r="N188" s="3" t="s">
        <v>43</v>
      </c>
      <c r="Q188" s="3" t="s">
        <v>43</v>
      </c>
      <c r="S188" s="3" t="str">
        <f t="shared" si="2"/>
        <v>WITH ZDATA AS
(SELECT TRUNC(SUM(CASE WHEN kfc.CHARACTERISTIC = 'AHV_FIKTIV' THEN NVL(kfc.VALUE,0) END) / SUM(CASE WHEN kfc.CHARACTERISTIC = 'TOTAL' AND NVL(kfc.VALUE,0) &lt;&gt; 0 THEN NVL(kfc.VALUE,0) END),10) AS Value, 
'123' AS BusinessObjectKey, 
'AHV_FIKTIV' AS Characteristic
FROM ANZ_0732 kfc
GROUP BY kfc.BO_KEY
) 
SELECT 'ANTEIL_0732' AS KeyFigureName,
'123456' AS ProcessingRunId, 
'12345' AS WaveId, 
Characteristic, BusinessObjectKey, 
Value AS Value 
FROM ZDATA 
ORDER BY BusinessObjectKey;</v>
      </c>
    </row>
    <row r="189" spans="1:19" x14ac:dyDescent="0.2">
      <c r="A189" s="4">
        <v>733</v>
      </c>
      <c r="B189" s="3">
        <v>1</v>
      </c>
      <c r="C189" s="3" t="s">
        <v>397</v>
      </c>
      <c r="D189" s="3" t="s">
        <v>89</v>
      </c>
      <c r="E189" s="3" t="s">
        <v>21</v>
      </c>
      <c r="F189" s="3" t="s">
        <v>398</v>
      </c>
      <c r="H189" s="3" t="s">
        <v>23</v>
      </c>
      <c r="I189" s="3" t="s">
        <v>21</v>
      </c>
      <c r="J189" s="3" t="s">
        <v>399</v>
      </c>
      <c r="K189" s="3" t="s">
        <v>400</v>
      </c>
      <c r="L189" s="3" t="s">
        <v>26</v>
      </c>
      <c r="M189" s="3" t="s">
        <v>27</v>
      </c>
      <c r="N189" s="3" t="s">
        <v>28</v>
      </c>
      <c r="S189" s="3" t="str">
        <f t="shared" si="2"/>
        <v>WITH ZDATA AS
(SELECT adm.UV_EINTRITTSART AS Value, 
'123' AS BusinessObjectKey, 
CASE WHEN adm.UV_EINTRITTSART=1 THEN 'EINTRITTSART_1'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0" spans="1:19" x14ac:dyDescent="0.2">
      <c r="A190" s="4">
        <v>733</v>
      </c>
      <c r="B190" s="3">
        <v>1</v>
      </c>
      <c r="C190" s="3" t="s">
        <v>397</v>
      </c>
      <c r="D190" s="3" t="s">
        <v>89</v>
      </c>
      <c r="E190" s="3" t="s">
        <v>21</v>
      </c>
      <c r="F190" s="3" t="s">
        <v>398</v>
      </c>
      <c r="H190" s="3" t="s">
        <v>23</v>
      </c>
      <c r="I190" s="3" t="s">
        <v>21</v>
      </c>
      <c r="J190" s="3" t="s">
        <v>401</v>
      </c>
      <c r="K190" s="3" t="s">
        <v>402</v>
      </c>
      <c r="L190" s="3" t="s">
        <v>26</v>
      </c>
      <c r="M190" s="3" t="s">
        <v>27</v>
      </c>
      <c r="N190" s="3" t="s">
        <v>28</v>
      </c>
      <c r="S190" s="3" t="str">
        <f t="shared" si="2"/>
        <v>WITH ZDATA AS
(SELECT adm.UV_EINTRITTSART AS Value, 
'123' AS BusinessObjectKey, 
CASE WHEN adm.UV_EINTRITTSART=2 THEN 'EINTRITTSART_2'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1" spans="1:19" x14ac:dyDescent="0.2">
      <c r="A191" s="4">
        <v>733</v>
      </c>
      <c r="B191" s="3">
        <v>1</v>
      </c>
      <c r="C191" s="3" t="s">
        <v>397</v>
      </c>
      <c r="D191" s="3" t="s">
        <v>89</v>
      </c>
      <c r="E191" s="3" t="s">
        <v>21</v>
      </c>
      <c r="F191" s="3" t="s">
        <v>398</v>
      </c>
      <c r="H191" s="3" t="s">
        <v>23</v>
      </c>
      <c r="I191" s="3" t="s">
        <v>21</v>
      </c>
      <c r="J191" s="3" t="s">
        <v>403</v>
      </c>
      <c r="K191" s="3" t="s">
        <v>404</v>
      </c>
      <c r="L191" s="3" t="s">
        <v>26</v>
      </c>
      <c r="M191" s="3" t="s">
        <v>27</v>
      </c>
      <c r="N191" s="3" t="s">
        <v>28</v>
      </c>
      <c r="S191" s="3" t="str">
        <f t="shared" si="2"/>
        <v>WITH ZDATA AS
(SELECT adm.UV_EINTRITTSART AS Value, 
'123' AS BusinessObjectKey, 
CASE WHEN adm.UV_EINTRITTSART=3 THEN 'EINTRITTSART_3'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2" spans="1:19" x14ac:dyDescent="0.2">
      <c r="A192" s="4">
        <v>733</v>
      </c>
      <c r="B192" s="3">
        <v>1</v>
      </c>
      <c r="C192" s="3" t="s">
        <v>397</v>
      </c>
      <c r="D192" s="3" t="s">
        <v>89</v>
      </c>
      <c r="E192" s="3" t="s">
        <v>21</v>
      </c>
      <c r="F192" s="3" t="s">
        <v>398</v>
      </c>
      <c r="H192" s="3" t="s">
        <v>23</v>
      </c>
      <c r="I192" s="3" t="s">
        <v>21</v>
      </c>
      <c r="J192" s="3" t="s">
        <v>405</v>
      </c>
      <c r="K192" s="3" t="s">
        <v>406</v>
      </c>
      <c r="L192" s="3" t="s">
        <v>26</v>
      </c>
      <c r="M192" s="3" t="s">
        <v>27</v>
      </c>
      <c r="N192" s="3" t="s">
        <v>28</v>
      </c>
      <c r="S192" s="3" t="str">
        <f t="shared" si="2"/>
        <v>WITH ZDATA AS
(SELECT adm.UV_EINTRITTSART AS Value, 
'123' AS BusinessObjectKey, 
CASE WHEN adm.UV_EINTRITTSART=4 THEN 'EINTRITTSART_4'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3" spans="1:19" x14ac:dyDescent="0.2">
      <c r="A193" s="4">
        <v>733</v>
      </c>
      <c r="B193" s="3">
        <v>1</v>
      </c>
      <c r="C193" s="3" t="s">
        <v>397</v>
      </c>
      <c r="D193" s="3" t="s">
        <v>89</v>
      </c>
      <c r="E193" s="3" t="s">
        <v>21</v>
      </c>
      <c r="F193" s="3" t="s">
        <v>398</v>
      </c>
      <c r="H193" s="3" t="s">
        <v>23</v>
      </c>
      <c r="I193" s="3" t="s">
        <v>21</v>
      </c>
      <c r="J193" s="3" t="s">
        <v>407</v>
      </c>
      <c r="K193" s="3" t="s">
        <v>408</v>
      </c>
      <c r="L193" s="3" t="s">
        <v>26</v>
      </c>
      <c r="M193" s="3" t="s">
        <v>27</v>
      </c>
      <c r="N193" s="3" t="s">
        <v>28</v>
      </c>
      <c r="S193" s="3" t="str">
        <f t="shared" si="2"/>
        <v>WITH ZDATA AS
(SELECT adm.UV_EINTRITTSART AS Value, 
'123' AS BusinessObjectKey, 
CASE WHEN adm.UV_EINTRITTSART=5 THEN 'EINTRITTSART_5'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4" spans="1:19" x14ac:dyDescent="0.2">
      <c r="A194" s="4">
        <v>733</v>
      </c>
      <c r="B194" s="3">
        <v>1</v>
      </c>
      <c r="C194" s="3" t="s">
        <v>397</v>
      </c>
      <c r="D194" s="3" t="s">
        <v>89</v>
      </c>
      <c r="E194" s="3" t="s">
        <v>21</v>
      </c>
      <c r="F194" s="3" t="s">
        <v>398</v>
      </c>
      <c r="H194" s="3" t="s">
        <v>23</v>
      </c>
      <c r="I194" s="3" t="s">
        <v>21</v>
      </c>
      <c r="J194" s="3" t="s">
        <v>409</v>
      </c>
      <c r="K194" s="3" t="s">
        <v>410</v>
      </c>
      <c r="L194" s="3" t="s">
        <v>26</v>
      </c>
      <c r="M194" s="3" t="s">
        <v>27</v>
      </c>
      <c r="N194" s="3" t="s">
        <v>28</v>
      </c>
      <c r="S194" s="3" t="str">
        <f t="shared" ref="S194:S257" si="3">IF(F194="","","WITH ZDATA AS
(SELECT "&amp;F194&amp;" AS Value, 
'123' AS BusinessObjectKey, 
"&amp;IF(I194="False","CASE WHEN "&amp;K194&amp;" THEN '"&amp;J194&amp;"' ELSE '"&amp;L194&amp;"' 
END AS Characteristic",G194)&amp;"
FROM "&amp;M194&amp;"
"&amp;O194&amp;"
"&amp;IF(P194="","", "WHERE "&amp;P194)&amp;"
"&amp;IF(Q194="","", "GROUP BY "&amp;Q194)&amp;"
"&amp;IF(R194="","", "HAVING "&amp;R194)&amp;"
) 
SELECT '"&amp;C194&amp;"' AS KeyFigureName,
'123456' AS ProcessingRunId, 
'12345' AS WaveId, 
Characteristic, BusinessObjectKey, 
"&amp;IF(H194="","Value",H194)&amp;" AS Value 
FROM ZDATA 
"&amp;IF(I194="False","GROUP BY Characteristic, BusinessObjectKey","")&amp;"
ORDER BY BusinessObjectKey;")</f>
        <v>WITH ZDATA AS
(SELECT adm.UV_EINTRITTSART AS Value, 
'123' AS BusinessObjectKey, 
CASE WHEN adm.UV_EINTRITTSART=6 THEN 'EINTRITTSART_6'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5" spans="1:19" x14ac:dyDescent="0.2">
      <c r="A195" s="4">
        <v>733</v>
      </c>
      <c r="B195" s="3">
        <v>1</v>
      </c>
      <c r="C195" s="3" t="s">
        <v>397</v>
      </c>
      <c r="D195" s="3" t="s">
        <v>89</v>
      </c>
      <c r="E195" s="3" t="s">
        <v>21</v>
      </c>
      <c r="F195" s="3" t="s">
        <v>398</v>
      </c>
      <c r="H195" s="3" t="s">
        <v>23</v>
      </c>
      <c r="I195" s="3" t="s">
        <v>21</v>
      </c>
      <c r="J195" s="3" t="s">
        <v>411</v>
      </c>
      <c r="K195" s="3" t="s">
        <v>412</v>
      </c>
      <c r="L195" s="3" t="s">
        <v>26</v>
      </c>
      <c r="M195" s="3" t="s">
        <v>27</v>
      </c>
      <c r="N195" s="3" t="s">
        <v>28</v>
      </c>
      <c r="S195" s="3" t="str">
        <f t="shared" si="3"/>
        <v>WITH ZDATA AS
(SELECT adm.UV_EINTRITTSART AS Value, 
'123' AS BusinessObjectKey, 
CASE WHEN adm.UV_EINTRITTSART=7 THEN 'EINTRITTSART_7'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6" spans="1:19" x14ac:dyDescent="0.2">
      <c r="A196" s="4">
        <v>733</v>
      </c>
      <c r="B196" s="3">
        <v>1</v>
      </c>
      <c r="C196" s="3" t="s">
        <v>397</v>
      </c>
      <c r="D196" s="3" t="s">
        <v>89</v>
      </c>
      <c r="E196" s="3" t="s">
        <v>21</v>
      </c>
      <c r="F196" s="3" t="s">
        <v>398</v>
      </c>
      <c r="H196" s="3" t="s">
        <v>23</v>
      </c>
      <c r="I196" s="3" t="s">
        <v>21</v>
      </c>
      <c r="J196" s="3" t="s">
        <v>413</v>
      </c>
      <c r="K196" s="3" t="s">
        <v>414</v>
      </c>
      <c r="L196" s="3" t="s">
        <v>26</v>
      </c>
      <c r="M196" s="3" t="s">
        <v>27</v>
      </c>
      <c r="N196" s="3" t="s">
        <v>28</v>
      </c>
      <c r="S196" s="3" t="str">
        <f t="shared" si="3"/>
        <v>WITH ZDATA AS
(SELECT adm.UV_EINTRITTSART AS Value, 
'123' AS BusinessObjectKey, 
CASE WHEN adm.UV_EINTRITTSART=8 THEN 'EINTRITTSART_8'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7" spans="1:19" x14ac:dyDescent="0.2">
      <c r="A197" s="4">
        <v>733</v>
      </c>
      <c r="B197" s="3">
        <v>1</v>
      </c>
      <c r="C197" s="3" t="s">
        <v>397</v>
      </c>
      <c r="D197" s="3" t="s">
        <v>89</v>
      </c>
      <c r="E197" s="3" t="s">
        <v>21</v>
      </c>
      <c r="F197" s="3" t="s">
        <v>398</v>
      </c>
      <c r="H197" s="3" t="s">
        <v>23</v>
      </c>
      <c r="I197" s="3" t="s">
        <v>21</v>
      </c>
      <c r="J197" s="3" t="s">
        <v>415</v>
      </c>
      <c r="K197" s="3" t="s">
        <v>416</v>
      </c>
      <c r="L197" s="3" t="s">
        <v>26</v>
      </c>
      <c r="M197" s="3" t="s">
        <v>27</v>
      </c>
      <c r="N197" s="3" t="s">
        <v>28</v>
      </c>
      <c r="S197" s="3" t="str">
        <f t="shared" si="3"/>
        <v>WITH ZDATA AS
(SELECT adm.UV_EINTRITTSART AS Value, 
'123' AS BusinessObjectKey, 
CASE WHEN adm.UV_EINTRITTSART=9 THEN 'EINTRITTSART_9'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8" spans="1:19" x14ac:dyDescent="0.2">
      <c r="A198" s="4">
        <v>733</v>
      </c>
      <c r="B198" s="3">
        <v>2</v>
      </c>
      <c r="C198" s="3" t="s">
        <v>417</v>
      </c>
      <c r="D198" s="3" t="s">
        <v>418</v>
      </c>
      <c r="E198" s="3" t="s">
        <v>21</v>
      </c>
      <c r="F198" s="3" t="s">
        <v>39</v>
      </c>
      <c r="G198" s="3" t="s">
        <v>40</v>
      </c>
      <c r="I198" s="3" t="s">
        <v>41</v>
      </c>
      <c r="M198" s="3" t="s">
        <v>419</v>
      </c>
      <c r="N198" s="3" t="s">
        <v>43</v>
      </c>
      <c r="O198" s="3" t="s">
        <v>420</v>
      </c>
      <c r="S198" s="3" t="str">
        <f t="shared" si="3"/>
        <v>WITH ZDATA AS
(SELECT NVL(kfc.VALUE,0)-NVL(kfc2.VALUE,0) AS Value, 
'123' AS BusinessObjectKey, 
kfc.CHARACTERISTIC AS Characteristic
FROM ANZ_0733 kfc
JOIN PDP_ANZ_0733 kfc2 ON kfc.BO_KEY = kfc2.BO_KEY AND kfc.CHARACTERISTIC = kfc2.CHARACTERISTIC
) 
SELECT 'VGL_ABS_0733' AS KeyFigureName,
'123456' AS ProcessingRunId, 
'12345' AS WaveId, 
Characteristic, BusinessObjectKey, 
Value AS Value 
FROM ZDATA 
ORDER BY BusinessObjectKey;</v>
      </c>
    </row>
    <row r="199" spans="1:19" x14ac:dyDescent="0.2">
      <c r="A199" s="4">
        <v>733</v>
      </c>
      <c r="B199" s="3">
        <v>2</v>
      </c>
      <c r="C199" s="3" t="s">
        <v>421</v>
      </c>
      <c r="D199" s="3" t="s">
        <v>418</v>
      </c>
      <c r="E199" s="3" t="s">
        <v>21</v>
      </c>
      <c r="F199" s="3" t="s">
        <v>54</v>
      </c>
      <c r="G199" s="3" t="s">
        <v>40</v>
      </c>
      <c r="I199" s="3" t="s">
        <v>41</v>
      </c>
      <c r="M199" s="3" t="s">
        <v>419</v>
      </c>
      <c r="N199" s="3" t="s">
        <v>43</v>
      </c>
      <c r="O199" s="3" t="s">
        <v>420</v>
      </c>
      <c r="P199" s="3" t="s">
        <v>55</v>
      </c>
      <c r="S199" s="3" t="str">
        <f t="shared" si="3"/>
        <v>WITH ZDATA AS
(SELECT TRUNC((NVL(kfc.VALUE,0)-NVL(kfc2.VALUE,0)) / kfc2.VALUE,10) AS Value, 
'123' AS BusinessObjectKey, 
kfc.CHARACTERISTIC AS Characteristic
FROM ANZ_0733 kfc
JOIN PDP_ANZ_0733 kfc2 ON kfc.BO_KEY = kfc2.BO_KEY AND kfc.CHARACTERISTIC = kfc2.CHARACTERISTIC
WHERE kfc2.VALUE &lt;&gt; 0 AND kfc2.VALUE IS NOT NULL
) 
SELECT 'VGL_REL_0733' AS KeyFigureName,
'123456' AS ProcessingRunId, 
'12345' AS WaveId, 
Characteristic, BusinessObjectKey, 
Value AS Value 
FROM ZDATA 
ORDER BY BusinessObjectKey;</v>
      </c>
    </row>
    <row r="200" spans="1:19" x14ac:dyDescent="0.2">
      <c r="A200" s="4">
        <v>734</v>
      </c>
      <c r="B200" s="3">
        <v>1</v>
      </c>
      <c r="C200" s="3" t="s">
        <v>422</v>
      </c>
      <c r="D200" s="3" t="s">
        <v>89</v>
      </c>
      <c r="E200" s="3" t="s">
        <v>21</v>
      </c>
      <c r="F200" s="3" t="s">
        <v>423</v>
      </c>
      <c r="H200" s="3" t="s">
        <v>23</v>
      </c>
      <c r="I200" s="3" t="s">
        <v>21</v>
      </c>
      <c r="J200" s="3" t="s">
        <v>424</v>
      </c>
      <c r="K200" s="3" t="s">
        <v>425</v>
      </c>
      <c r="L200" s="3" t="s">
        <v>26</v>
      </c>
      <c r="M200" s="3" t="s">
        <v>27</v>
      </c>
      <c r="N200" s="3" t="s">
        <v>28</v>
      </c>
      <c r="S200" s="3" t="str">
        <f t="shared" si="3"/>
        <v>WITH ZDATA AS
(SELECT adm.UV_EINTRITT_AUFENTHALT AS Value, 
'123' AS BusinessObjectKey, 
CASE WHEN adm.UV_EINTRITT_AUFENTHALT IN (1,2) THEN 'EINTRITT_AUFENTHALT_1_2'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1" spans="1:19" x14ac:dyDescent="0.2">
      <c r="A201" s="4">
        <v>734</v>
      </c>
      <c r="B201" s="3">
        <v>1</v>
      </c>
      <c r="C201" s="3" t="s">
        <v>422</v>
      </c>
      <c r="D201" s="3" t="s">
        <v>89</v>
      </c>
      <c r="E201" s="3" t="s">
        <v>21</v>
      </c>
      <c r="F201" s="3" t="s">
        <v>423</v>
      </c>
      <c r="H201" s="3" t="s">
        <v>23</v>
      </c>
      <c r="I201" s="3" t="s">
        <v>21</v>
      </c>
      <c r="J201" s="3" t="s">
        <v>426</v>
      </c>
      <c r="K201" s="3" t="s">
        <v>427</v>
      </c>
      <c r="L201" s="3" t="s">
        <v>26</v>
      </c>
      <c r="M201" s="3" t="s">
        <v>27</v>
      </c>
      <c r="N201" s="3" t="s">
        <v>28</v>
      </c>
      <c r="S201" s="3" t="str">
        <f t="shared" si="3"/>
        <v>WITH ZDATA AS
(SELECT adm.UV_EINTRITT_AUFENTHALT AS Value, 
'123' AS BusinessObjectKey, 
CASE WHEN adm.UV_EINTRITT_AUFENTHALT IN (3,4) THEN 'EINTRITT_AUFENTHALT_3_4'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2" spans="1:19" x14ac:dyDescent="0.2">
      <c r="A202" s="4">
        <v>734</v>
      </c>
      <c r="B202" s="3">
        <v>1</v>
      </c>
      <c r="C202" s="3" t="s">
        <v>422</v>
      </c>
      <c r="D202" s="3" t="s">
        <v>89</v>
      </c>
      <c r="E202" s="3" t="s">
        <v>21</v>
      </c>
      <c r="F202" s="3" t="s">
        <v>423</v>
      </c>
      <c r="H202" s="3" t="s">
        <v>23</v>
      </c>
      <c r="I202" s="3" t="s">
        <v>21</v>
      </c>
      <c r="J202" s="3" t="s">
        <v>428</v>
      </c>
      <c r="K202" s="3" t="s">
        <v>429</v>
      </c>
      <c r="L202" s="3" t="s">
        <v>26</v>
      </c>
      <c r="M202" s="3" t="s">
        <v>27</v>
      </c>
      <c r="N202" s="3" t="s">
        <v>28</v>
      </c>
      <c r="S202" s="3" t="str">
        <f t="shared" si="3"/>
        <v>WITH ZDATA AS
(SELECT adm.UV_EINTRITT_AUFENTHALT AS Value, 
'123' AS BusinessObjectKey, 
CASE WHEN adm.UV_EINTRITT_AUFENTHALT IN (5,55) THEN 'EINTRITT_AUFENTHALT_5_55'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3" spans="1:19" x14ac:dyDescent="0.2">
      <c r="A203" s="4">
        <v>734</v>
      </c>
      <c r="B203" s="3">
        <v>1</v>
      </c>
      <c r="C203" s="3" t="s">
        <v>422</v>
      </c>
      <c r="D203" s="3" t="s">
        <v>89</v>
      </c>
      <c r="E203" s="3" t="s">
        <v>21</v>
      </c>
      <c r="F203" s="3" t="s">
        <v>423</v>
      </c>
      <c r="H203" s="3" t="s">
        <v>23</v>
      </c>
      <c r="I203" s="3" t="s">
        <v>21</v>
      </c>
      <c r="J203" s="3" t="s">
        <v>430</v>
      </c>
      <c r="K203" s="3" t="s">
        <v>431</v>
      </c>
      <c r="L203" s="3" t="s">
        <v>26</v>
      </c>
      <c r="M203" s="3" t="s">
        <v>27</v>
      </c>
      <c r="N203" s="3" t="s">
        <v>28</v>
      </c>
      <c r="S203" s="3" t="str">
        <f t="shared" si="3"/>
        <v>WITH ZDATA AS
(SELECT adm.UV_EINTRITT_AUFENTHALT AS Value, 
'123' AS BusinessObjectKey, 
CASE WHEN adm.UV_EINTRITT_AUFENTHALT IN (6,66) THEN 'EINTRITT_AUFENTHALT_6_66'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4" spans="1:19" x14ac:dyDescent="0.2">
      <c r="A204" s="4">
        <v>734</v>
      </c>
      <c r="B204" s="3">
        <v>1</v>
      </c>
      <c r="C204" s="3" t="s">
        <v>422</v>
      </c>
      <c r="D204" s="3" t="s">
        <v>89</v>
      </c>
      <c r="E204" s="3" t="s">
        <v>21</v>
      </c>
      <c r="F204" s="3" t="s">
        <v>423</v>
      </c>
      <c r="H204" s="3" t="s">
        <v>23</v>
      </c>
      <c r="I204" s="3" t="s">
        <v>21</v>
      </c>
      <c r="J204" s="3" t="s">
        <v>432</v>
      </c>
      <c r="K204" s="3" t="s">
        <v>433</v>
      </c>
      <c r="L204" s="3" t="s">
        <v>26</v>
      </c>
      <c r="M204" s="3" t="s">
        <v>27</v>
      </c>
      <c r="N204" s="3" t="s">
        <v>28</v>
      </c>
      <c r="S204" s="3" t="str">
        <f t="shared" si="3"/>
        <v>WITH ZDATA AS
(SELECT adm.UV_EINTRITT_AUFENTHALT AS Value, 
'123' AS BusinessObjectKey, 
CASE WHEN adm.UV_EINTRITT_AUFENTHALT=7 THEN 'EINTRITT_AUFENTHALT_7'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5" spans="1:19" x14ac:dyDescent="0.2">
      <c r="A205" s="4">
        <v>734</v>
      </c>
      <c r="B205" s="3">
        <v>1</v>
      </c>
      <c r="C205" s="3" t="s">
        <v>422</v>
      </c>
      <c r="D205" s="3" t="s">
        <v>89</v>
      </c>
      <c r="E205" s="3" t="s">
        <v>21</v>
      </c>
      <c r="F205" s="3" t="s">
        <v>423</v>
      </c>
      <c r="H205" s="3" t="s">
        <v>23</v>
      </c>
      <c r="I205" s="3" t="s">
        <v>21</v>
      </c>
      <c r="J205" s="3" t="s">
        <v>434</v>
      </c>
      <c r="K205" s="3" t="s">
        <v>435</v>
      </c>
      <c r="L205" s="3" t="s">
        <v>26</v>
      </c>
      <c r="M205" s="3" t="s">
        <v>27</v>
      </c>
      <c r="N205" s="3" t="s">
        <v>28</v>
      </c>
      <c r="S205" s="3" t="str">
        <f t="shared" si="3"/>
        <v>WITH ZDATA AS
(SELECT adm.UV_EINTRITT_AUFENTHALT AS Value, 
'123' AS BusinessObjectKey, 
CASE WHEN adm.UV_EINTRITT_AUFENTHALT=8 THEN 'EINTRITT_AUFENTHALT_8'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6" spans="1:19" x14ac:dyDescent="0.2">
      <c r="A206" s="4">
        <v>734</v>
      </c>
      <c r="B206" s="3">
        <v>1</v>
      </c>
      <c r="C206" s="3" t="s">
        <v>422</v>
      </c>
      <c r="D206" s="3" t="s">
        <v>89</v>
      </c>
      <c r="E206" s="3" t="s">
        <v>21</v>
      </c>
      <c r="F206" s="3" t="s">
        <v>423</v>
      </c>
      <c r="H206" s="3" t="s">
        <v>23</v>
      </c>
      <c r="I206" s="3" t="s">
        <v>21</v>
      </c>
      <c r="J206" s="3" t="s">
        <v>436</v>
      </c>
      <c r="K206" s="3" t="s">
        <v>437</v>
      </c>
      <c r="L206" s="3" t="s">
        <v>26</v>
      </c>
      <c r="M206" s="3" t="s">
        <v>27</v>
      </c>
      <c r="N206" s="3" t="s">
        <v>28</v>
      </c>
      <c r="S206" s="3" t="str">
        <f t="shared" si="3"/>
        <v>WITH ZDATA AS
(SELECT adm.UV_EINTRITT_AUFENTHALT AS Value, 
'123' AS BusinessObjectKey, 
CASE WHEN adm.UV_EINTRITT_AUFENTHALT IN (83,84) THEN 'EINTRITT_AUFENTHALT_83_84'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7" spans="1:19" x14ac:dyDescent="0.2">
      <c r="A207" s="4">
        <v>734</v>
      </c>
      <c r="B207" s="3">
        <v>1</v>
      </c>
      <c r="C207" s="3" t="s">
        <v>422</v>
      </c>
      <c r="D207" s="3" t="s">
        <v>89</v>
      </c>
      <c r="E207" s="3" t="s">
        <v>21</v>
      </c>
      <c r="F207" s="3" t="s">
        <v>423</v>
      </c>
      <c r="H207" s="3" t="s">
        <v>23</v>
      </c>
      <c r="I207" s="3" t="s">
        <v>21</v>
      </c>
      <c r="J207" s="3" t="s">
        <v>438</v>
      </c>
      <c r="K207" s="3" t="s">
        <v>439</v>
      </c>
      <c r="L207" s="3" t="s">
        <v>26</v>
      </c>
      <c r="M207" s="3" t="s">
        <v>27</v>
      </c>
      <c r="N207" s="3" t="s">
        <v>28</v>
      </c>
      <c r="S207" s="3" t="str">
        <f t="shared" si="3"/>
        <v>WITH ZDATA AS
(SELECT adm.UV_EINTRITT_AUFENTHALT AS Value, 
'123' AS BusinessObjectKey, 
CASE WHEN adm.UV_EINTRITT_AUFENTHALT=9 THEN 'EINTRITT_AUFENTHALT_9'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8" spans="1:19" x14ac:dyDescent="0.2">
      <c r="A208" s="4">
        <v>734</v>
      </c>
      <c r="B208" s="3">
        <v>2</v>
      </c>
      <c r="C208" s="3" t="s">
        <v>440</v>
      </c>
      <c r="D208" s="3" t="s">
        <v>441</v>
      </c>
      <c r="E208" s="3" t="s">
        <v>21</v>
      </c>
      <c r="F208" s="3" t="s">
        <v>39</v>
      </c>
      <c r="G208" s="3" t="s">
        <v>40</v>
      </c>
      <c r="I208" s="3" t="s">
        <v>41</v>
      </c>
      <c r="M208" s="3" t="s">
        <v>442</v>
      </c>
      <c r="N208" s="3" t="s">
        <v>43</v>
      </c>
      <c r="O208" s="3" t="s">
        <v>443</v>
      </c>
      <c r="S208" s="3" t="str">
        <f t="shared" si="3"/>
        <v>WITH ZDATA AS
(SELECT NVL(kfc.VALUE,0)-NVL(kfc2.VALUE,0) AS Value, 
'123' AS BusinessObjectKey, 
kfc.CHARACTERISTIC AS Characteristic
FROM ANZ_0734 kfc
JOIN PDP_ANZ_0734 kfc2 ON kfc.BO_KEY = kfc2.BO_KEY AND kfc.CHARACTERISTIC = kfc2.CHARACTERISTIC
) 
SELECT 'VGL_ABS_0734' AS KeyFigureName,
'123456' AS ProcessingRunId, 
'12345' AS WaveId, 
Characteristic, BusinessObjectKey, 
Value AS Value 
FROM ZDATA 
ORDER BY BusinessObjectKey;</v>
      </c>
    </row>
    <row r="209" spans="1:19" x14ac:dyDescent="0.2">
      <c r="A209" s="4">
        <v>734</v>
      </c>
      <c r="B209" s="3">
        <v>2</v>
      </c>
      <c r="C209" s="3" t="s">
        <v>444</v>
      </c>
      <c r="D209" s="3" t="s">
        <v>441</v>
      </c>
      <c r="E209" s="3" t="s">
        <v>21</v>
      </c>
      <c r="F209" s="3" t="s">
        <v>54</v>
      </c>
      <c r="G209" s="3" t="s">
        <v>40</v>
      </c>
      <c r="I209" s="3" t="s">
        <v>41</v>
      </c>
      <c r="M209" s="3" t="s">
        <v>442</v>
      </c>
      <c r="N209" s="3" t="s">
        <v>43</v>
      </c>
      <c r="O209" s="3" t="s">
        <v>443</v>
      </c>
      <c r="P209" s="3" t="s">
        <v>55</v>
      </c>
      <c r="S209" s="3" t="str">
        <f t="shared" si="3"/>
        <v>WITH ZDATA AS
(SELECT TRUNC((NVL(kfc.VALUE,0)-NVL(kfc2.VALUE,0)) / kfc2.VALUE,10) AS Value, 
'123' AS BusinessObjectKey, 
kfc.CHARACTERISTIC AS Characteristic
FROM ANZ_0734 kfc
JOIN PDP_ANZ_0734 kfc2 ON kfc.BO_KEY = kfc2.BO_KEY AND kfc.CHARACTERISTIC = kfc2.CHARACTERISTIC
WHERE kfc2.VALUE &lt;&gt; 0 AND kfc2.VALUE IS NOT NULL
) 
SELECT 'VGL_REL_0734' AS KeyFigureName,
'123456' AS ProcessingRunId, 
'12345' AS WaveId, 
Characteristic, BusinessObjectKey, 
Value AS Value 
FROM ZDATA 
ORDER BY BusinessObjectKey;</v>
      </c>
    </row>
    <row r="210" spans="1:19" x14ac:dyDescent="0.2">
      <c r="A210" s="4">
        <v>735</v>
      </c>
      <c r="B210" s="3">
        <v>1</v>
      </c>
      <c r="C210" s="3" t="s">
        <v>445</v>
      </c>
      <c r="D210" s="3" t="s">
        <v>89</v>
      </c>
      <c r="E210" s="3" t="s">
        <v>21</v>
      </c>
      <c r="F210" s="3" t="s">
        <v>446</v>
      </c>
      <c r="H210" s="3" t="s">
        <v>23</v>
      </c>
      <c r="I210" s="3" t="s">
        <v>21</v>
      </c>
      <c r="J210" s="3" t="s">
        <v>447</v>
      </c>
      <c r="K210" s="3" t="s">
        <v>448</v>
      </c>
      <c r="L210" s="3" t="s">
        <v>26</v>
      </c>
      <c r="M210" s="3" t="s">
        <v>27</v>
      </c>
      <c r="N210" s="3" t="s">
        <v>28</v>
      </c>
      <c r="S210" s="3" t="str">
        <f t="shared" si="3"/>
        <v>WITH ZDATA AS
(SELECT adm.UV_EINW_INSTANZ AS Value, 
'123' AS BusinessObjectKey, 
CASE WHEN adm.UV_EINW_INSTANZ=1 THEN 'EINW_INST_1'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1" spans="1:19" x14ac:dyDescent="0.2">
      <c r="A211" s="4">
        <v>735</v>
      </c>
      <c r="B211" s="3">
        <v>1</v>
      </c>
      <c r="C211" s="3" t="s">
        <v>445</v>
      </c>
      <c r="D211" s="3" t="s">
        <v>89</v>
      </c>
      <c r="E211" s="3" t="s">
        <v>21</v>
      </c>
      <c r="F211" s="3" t="s">
        <v>446</v>
      </c>
      <c r="H211" s="3" t="s">
        <v>23</v>
      </c>
      <c r="I211" s="3" t="s">
        <v>21</v>
      </c>
      <c r="J211" s="3" t="s">
        <v>449</v>
      </c>
      <c r="K211" s="3" t="s">
        <v>450</v>
      </c>
      <c r="L211" s="3" t="s">
        <v>26</v>
      </c>
      <c r="M211" s="3" t="s">
        <v>27</v>
      </c>
      <c r="N211" s="3" t="s">
        <v>28</v>
      </c>
      <c r="S211" s="3" t="str">
        <f t="shared" si="3"/>
        <v>WITH ZDATA AS
(SELECT adm.UV_EINW_INSTANZ AS Value, 
'123' AS BusinessObjectKey, 
CASE WHEN adm.UV_EINW_INSTANZ=2 THEN 'EINW_INST_2'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2" spans="1:19" x14ac:dyDescent="0.2">
      <c r="A212" s="4">
        <v>735</v>
      </c>
      <c r="B212" s="3">
        <v>1</v>
      </c>
      <c r="C212" s="3" t="s">
        <v>445</v>
      </c>
      <c r="D212" s="3" t="s">
        <v>89</v>
      </c>
      <c r="E212" s="3" t="s">
        <v>21</v>
      </c>
      <c r="F212" s="3" t="s">
        <v>446</v>
      </c>
      <c r="H212" s="3" t="s">
        <v>23</v>
      </c>
      <c r="I212" s="3" t="s">
        <v>21</v>
      </c>
      <c r="J212" s="3" t="s">
        <v>451</v>
      </c>
      <c r="K212" s="3" t="s">
        <v>452</v>
      </c>
      <c r="L212" s="3" t="s">
        <v>26</v>
      </c>
      <c r="M212" s="3" t="s">
        <v>27</v>
      </c>
      <c r="N212" s="3" t="s">
        <v>28</v>
      </c>
      <c r="S212" s="3" t="str">
        <f t="shared" si="3"/>
        <v>WITH ZDATA AS
(SELECT adm.UV_EINW_INSTANZ AS Value, 
'123' AS BusinessObjectKey, 
CASE WHEN adm.UV_EINW_INSTANZ=3 THEN 'EINW_INST_3'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3" spans="1:19" x14ac:dyDescent="0.2">
      <c r="A213" s="4">
        <v>735</v>
      </c>
      <c r="B213" s="3">
        <v>1</v>
      </c>
      <c r="C213" s="3" t="s">
        <v>445</v>
      </c>
      <c r="D213" s="3" t="s">
        <v>89</v>
      </c>
      <c r="E213" s="3" t="s">
        <v>21</v>
      </c>
      <c r="F213" s="3" t="s">
        <v>446</v>
      </c>
      <c r="H213" s="3" t="s">
        <v>23</v>
      </c>
      <c r="I213" s="3" t="s">
        <v>21</v>
      </c>
      <c r="J213" s="3" t="s">
        <v>453</v>
      </c>
      <c r="K213" s="3" t="s">
        <v>454</v>
      </c>
      <c r="L213" s="3" t="s">
        <v>26</v>
      </c>
      <c r="M213" s="3" t="s">
        <v>27</v>
      </c>
      <c r="N213" s="3" t="s">
        <v>28</v>
      </c>
      <c r="S213" s="3" t="str">
        <f t="shared" si="3"/>
        <v>WITH ZDATA AS
(SELECT adm.UV_EINW_INSTANZ AS Value, 
'123' AS BusinessObjectKey, 
CASE WHEN adm.UV_EINW_INSTANZ=4 THEN 'EINW_INST_4'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4" spans="1:19" x14ac:dyDescent="0.2">
      <c r="A214" s="4">
        <v>735</v>
      </c>
      <c r="B214" s="3">
        <v>1</v>
      </c>
      <c r="C214" s="3" t="s">
        <v>445</v>
      </c>
      <c r="D214" s="3" t="s">
        <v>89</v>
      </c>
      <c r="E214" s="3" t="s">
        <v>21</v>
      </c>
      <c r="F214" s="3" t="s">
        <v>446</v>
      </c>
      <c r="H214" s="3" t="s">
        <v>23</v>
      </c>
      <c r="I214" s="3" t="s">
        <v>21</v>
      </c>
      <c r="J214" s="3" t="s">
        <v>455</v>
      </c>
      <c r="K214" s="3" t="s">
        <v>456</v>
      </c>
      <c r="L214" s="3" t="s">
        <v>26</v>
      </c>
      <c r="M214" s="3" t="s">
        <v>27</v>
      </c>
      <c r="N214" s="3" t="s">
        <v>28</v>
      </c>
      <c r="S214" s="3" t="str">
        <f t="shared" si="3"/>
        <v>WITH ZDATA AS
(SELECT adm.UV_EINW_INSTANZ AS Value, 
'123' AS BusinessObjectKey, 
CASE WHEN adm.UV_EINW_INSTANZ=5 THEN 'EINW_INST_5'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5" spans="1:19" x14ac:dyDescent="0.2">
      <c r="A215" s="4">
        <v>735</v>
      </c>
      <c r="B215" s="3">
        <v>1</v>
      </c>
      <c r="C215" s="3" t="s">
        <v>445</v>
      </c>
      <c r="D215" s="3" t="s">
        <v>89</v>
      </c>
      <c r="E215" s="3" t="s">
        <v>21</v>
      </c>
      <c r="F215" s="3" t="s">
        <v>446</v>
      </c>
      <c r="H215" s="3" t="s">
        <v>23</v>
      </c>
      <c r="I215" s="3" t="s">
        <v>21</v>
      </c>
      <c r="J215" s="3" t="s">
        <v>457</v>
      </c>
      <c r="K215" s="3" t="s">
        <v>458</v>
      </c>
      <c r="L215" s="3" t="s">
        <v>26</v>
      </c>
      <c r="M215" s="3" t="s">
        <v>27</v>
      </c>
      <c r="N215" s="3" t="s">
        <v>28</v>
      </c>
      <c r="S215" s="3" t="str">
        <f t="shared" si="3"/>
        <v>WITH ZDATA AS
(SELECT adm.UV_EINW_INSTANZ AS Value, 
'123' AS BusinessObjectKey, 
CASE WHEN adm.UV_EINW_INSTANZ=6 THEN 'EINW_INST_6'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6" spans="1:19" x14ac:dyDescent="0.2">
      <c r="A216" s="4">
        <v>735</v>
      </c>
      <c r="B216" s="3">
        <v>1</v>
      </c>
      <c r="C216" s="3" t="s">
        <v>445</v>
      </c>
      <c r="D216" s="3" t="s">
        <v>89</v>
      </c>
      <c r="E216" s="3" t="s">
        <v>21</v>
      </c>
      <c r="F216" s="3" t="s">
        <v>446</v>
      </c>
      <c r="H216" s="3" t="s">
        <v>23</v>
      </c>
      <c r="I216" s="3" t="s">
        <v>21</v>
      </c>
      <c r="J216" s="3" t="s">
        <v>459</v>
      </c>
      <c r="K216" s="3" t="s">
        <v>460</v>
      </c>
      <c r="L216" s="3" t="s">
        <v>26</v>
      </c>
      <c r="M216" s="3" t="s">
        <v>27</v>
      </c>
      <c r="N216" s="3" t="s">
        <v>28</v>
      </c>
      <c r="S216" s="3" t="str">
        <f t="shared" si="3"/>
        <v>WITH ZDATA AS
(SELECT adm.UV_EINW_INSTANZ AS Value, 
'123' AS BusinessObjectKey, 
CASE WHEN adm.UV_EINW_INSTANZ=8 THEN 'EINW_INST_8'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7" spans="1:19" x14ac:dyDescent="0.2">
      <c r="A217" s="4">
        <v>735</v>
      </c>
      <c r="B217" s="3">
        <v>1</v>
      </c>
      <c r="C217" s="3" t="s">
        <v>445</v>
      </c>
      <c r="D217" s="3" t="s">
        <v>89</v>
      </c>
      <c r="E217" s="3" t="s">
        <v>21</v>
      </c>
      <c r="F217" s="3" t="s">
        <v>446</v>
      </c>
      <c r="H217" s="3" t="s">
        <v>23</v>
      </c>
      <c r="I217" s="3" t="s">
        <v>21</v>
      </c>
      <c r="J217" s="3" t="s">
        <v>461</v>
      </c>
      <c r="K217" s="3" t="s">
        <v>462</v>
      </c>
      <c r="L217" s="3" t="s">
        <v>26</v>
      </c>
      <c r="M217" s="3" t="s">
        <v>27</v>
      </c>
      <c r="N217" s="3" t="s">
        <v>28</v>
      </c>
      <c r="S217" s="3" t="str">
        <f t="shared" si="3"/>
        <v>WITH ZDATA AS
(SELECT adm.UV_EINW_INSTANZ AS Value, 
'123' AS BusinessObjectKey, 
CASE WHEN adm.UV_EINW_INSTANZ=9 THEN 'EINW_INST_9'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8" spans="1:19" x14ac:dyDescent="0.2">
      <c r="A218" s="4">
        <v>735</v>
      </c>
      <c r="B218" s="3">
        <v>2</v>
      </c>
      <c r="C218" s="3" t="s">
        <v>463</v>
      </c>
      <c r="D218" s="3" t="s">
        <v>464</v>
      </c>
      <c r="E218" s="3" t="s">
        <v>21</v>
      </c>
      <c r="F218" s="3" t="s">
        <v>39</v>
      </c>
      <c r="G218" s="3" t="s">
        <v>40</v>
      </c>
      <c r="I218" s="3" t="s">
        <v>41</v>
      </c>
      <c r="M218" s="3" t="s">
        <v>465</v>
      </c>
      <c r="N218" s="3" t="s">
        <v>43</v>
      </c>
      <c r="O218" s="3" t="s">
        <v>466</v>
      </c>
      <c r="S218" s="3" t="str">
        <f t="shared" si="3"/>
        <v>WITH ZDATA AS
(SELECT NVL(kfc.VALUE,0)-NVL(kfc2.VALUE,0) AS Value, 
'123' AS BusinessObjectKey, 
kfc.CHARACTERISTIC AS Characteristic
FROM ANZ_0735 kfc
JOIN PDP_ANZ_0735 kfc2 ON kfc.BO_KEY = kfc2.BO_KEY AND kfc.CHARACTERISTIC = kfc2.CHARACTERISTIC
) 
SELECT 'VGL_ABS_0735' AS KeyFigureName,
'123456' AS ProcessingRunId, 
'12345' AS WaveId, 
Characteristic, BusinessObjectKey, 
Value AS Value 
FROM ZDATA 
ORDER BY BusinessObjectKey;</v>
      </c>
    </row>
    <row r="219" spans="1:19" x14ac:dyDescent="0.2">
      <c r="A219" s="4">
        <v>735</v>
      </c>
      <c r="B219" s="3">
        <v>2</v>
      </c>
      <c r="C219" s="3" t="s">
        <v>467</v>
      </c>
      <c r="D219" s="3" t="s">
        <v>464</v>
      </c>
      <c r="E219" s="3" t="s">
        <v>21</v>
      </c>
      <c r="F219" s="3" t="s">
        <v>54</v>
      </c>
      <c r="G219" s="3" t="s">
        <v>40</v>
      </c>
      <c r="I219" s="3" t="s">
        <v>41</v>
      </c>
      <c r="M219" s="3" t="s">
        <v>465</v>
      </c>
      <c r="N219" s="3" t="s">
        <v>43</v>
      </c>
      <c r="O219" s="3" t="s">
        <v>466</v>
      </c>
      <c r="P219" s="3" t="s">
        <v>55</v>
      </c>
      <c r="S219" s="3" t="str">
        <f t="shared" si="3"/>
        <v>WITH ZDATA AS
(SELECT TRUNC((NVL(kfc.VALUE,0)-NVL(kfc2.VALUE,0)) / kfc2.VALUE,10) AS Value, 
'123' AS BusinessObjectKey, 
kfc.CHARACTERISTIC AS Characteristic
FROM ANZ_0735 kfc
JOIN PDP_ANZ_0735 kfc2 ON kfc.BO_KEY = kfc2.BO_KEY AND kfc.CHARACTERISTIC = kfc2.CHARACTERISTIC
WHERE kfc2.VALUE &lt;&gt; 0 AND kfc2.VALUE IS NOT NULL
) 
SELECT 'VGL_REL_0735' AS KeyFigureName,
'123456' AS ProcessingRunId, 
'12345' AS WaveId, 
Characteristic, BusinessObjectKey, 
Value AS Value 
FROM ZDATA 
ORDER BY BusinessObjectKey;</v>
      </c>
    </row>
    <row r="220" spans="1:19" x14ac:dyDescent="0.2">
      <c r="A220" s="4">
        <v>736</v>
      </c>
      <c r="B220" s="3">
        <v>1</v>
      </c>
      <c r="C220" s="3" t="s">
        <v>468</v>
      </c>
      <c r="D220" s="3" t="s">
        <v>89</v>
      </c>
      <c r="E220" s="3" t="s">
        <v>21</v>
      </c>
      <c r="F220" s="3" t="s">
        <v>469</v>
      </c>
      <c r="H220" s="3" t="s">
        <v>61</v>
      </c>
      <c r="I220" s="3" t="s">
        <v>21</v>
      </c>
      <c r="J220" s="3" t="s">
        <v>470</v>
      </c>
      <c r="K220" s="3" t="s">
        <v>63</v>
      </c>
      <c r="L220" s="3" t="s">
        <v>26</v>
      </c>
      <c r="M220" s="3" t="s">
        <v>27</v>
      </c>
      <c r="N220" s="3" t="s">
        <v>28</v>
      </c>
      <c r="P220" s="3" t="s">
        <v>126</v>
      </c>
      <c r="S220" s="3" t="str">
        <f t="shared" si="3"/>
        <v>WITH ZDATA AS
(SELECT NVL(adm.UV_AUFENTHALT_IPS,0) AS Value, 
'123' AS BusinessObjectKey, 
CASE WHEN 1=1 THEN 'AUFENTHALT_IPS' ELSE 'OTHER' 
END AS Characteristic
FROM ADMINISTRATIVES adm
WHERE adm.UV_TARIF IN (1,2)
) 
SELECT 'SUM_0736' AS KeyFigureName,
'123456' AS ProcessingRunId, 
'12345' AS WaveId, 
Characteristic, BusinessObjectKey, 
SUM(Value) AS Value 
FROM ZDATA 
GROUP BY Characteristic, BusinessObjectKey
ORDER BY BusinessObjectKey;</v>
      </c>
    </row>
    <row r="221" spans="1:19" x14ac:dyDescent="0.2">
      <c r="A221" s="4">
        <v>736</v>
      </c>
      <c r="B221" s="3">
        <v>2</v>
      </c>
      <c r="C221" s="3" t="s">
        <v>471</v>
      </c>
      <c r="D221" s="3" t="s">
        <v>472</v>
      </c>
      <c r="E221" s="3" t="s">
        <v>21</v>
      </c>
      <c r="F221" s="3" t="s">
        <v>39</v>
      </c>
      <c r="G221" s="3" t="s">
        <v>40</v>
      </c>
      <c r="I221" s="3" t="s">
        <v>41</v>
      </c>
      <c r="M221" s="3" t="s">
        <v>473</v>
      </c>
      <c r="N221" s="3" t="s">
        <v>43</v>
      </c>
      <c r="O221" s="3" t="s">
        <v>474</v>
      </c>
      <c r="S221" s="3" t="str">
        <f t="shared" si="3"/>
        <v>WITH ZDATA AS
(SELECT NVL(kfc.VALUE,0)-NVL(kfc2.VALUE,0) AS Value, 
'123' AS BusinessObjectKey, 
kfc.CHARACTERISTIC AS Characteristic
FROM SUM_0736 kfc
JOIN PDP_SUM_0736 kfc2 ON kfc.BO_KEY = kfc2.BO_KEY AND kfc.CHARACTERISTIC = kfc2.CHARACTERISTIC
) 
SELECT 'VGL_ABS_0736' AS KeyFigureName,
'123456' AS ProcessingRunId, 
'12345' AS WaveId, 
Characteristic, BusinessObjectKey, 
Value AS Value 
FROM ZDATA 
ORDER BY BusinessObjectKey;</v>
      </c>
    </row>
    <row r="222" spans="1:19" x14ac:dyDescent="0.2">
      <c r="A222" s="4">
        <v>736</v>
      </c>
      <c r="B222" s="3">
        <v>2</v>
      </c>
      <c r="C222" s="3" t="s">
        <v>475</v>
      </c>
      <c r="D222" s="3" t="s">
        <v>472</v>
      </c>
      <c r="E222" s="3" t="s">
        <v>21</v>
      </c>
      <c r="F222" s="3" t="s">
        <v>54</v>
      </c>
      <c r="G222" s="3" t="s">
        <v>40</v>
      </c>
      <c r="I222" s="3" t="s">
        <v>41</v>
      </c>
      <c r="M222" s="3" t="s">
        <v>473</v>
      </c>
      <c r="N222" s="3" t="s">
        <v>43</v>
      </c>
      <c r="O222" s="3" t="s">
        <v>474</v>
      </c>
      <c r="P222" s="3" t="s">
        <v>55</v>
      </c>
      <c r="S222" s="3" t="str">
        <f t="shared" si="3"/>
        <v>WITH ZDATA AS
(SELECT TRUNC((NVL(kfc.VALUE,0)-NVL(kfc2.VALUE,0)) / kfc2.VALUE,10) AS Value, 
'123' AS BusinessObjectKey, 
kfc.CHARACTERISTIC AS Characteristic
FROM SUM_0736 kfc
JOIN PDP_SUM_0736 kfc2 ON kfc.BO_KEY = kfc2.BO_KEY AND kfc.CHARACTERISTIC = kfc2.CHARACTERISTIC
WHERE kfc2.VALUE &lt;&gt; 0 AND kfc2.VALUE IS NOT NULL
) 
SELECT 'VGL_REL_0736' AS KeyFigureName,
'123456' AS ProcessingRunId, 
'12345' AS WaveId, 
Characteristic, BusinessObjectKey, 
Value AS Value 
FROM ZDATA 
ORDER BY BusinessObjectKey;</v>
      </c>
    </row>
    <row r="223" spans="1:19" x14ac:dyDescent="0.2">
      <c r="A223" s="4">
        <v>737</v>
      </c>
      <c r="B223" s="3">
        <v>1</v>
      </c>
      <c r="C223" s="3" t="s">
        <v>476</v>
      </c>
      <c r="D223" s="3" t="s">
        <v>89</v>
      </c>
      <c r="E223" s="3" t="s">
        <v>21</v>
      </c>
      <c r="F223" s="3" t="s">
        <v>477</v>
      </c>
      <c r="H223" s="3" t="s">
        <v>61</v>
      </c>
      <c r="I223" s="3" t="s">
        <v>21</v>
      </c>
      <c r="J223" s="3" t="s">
        <v>478</v>
      </c>
      <c r="K223" s="3" t="s">
        <v>63</v>
      </c>
      <c r="L223" s="3" t="s">
        <v>26</v>
      </c>
      <c r="M223" s="3" t="s">
        <v>27</v>
      </c>
      <c r="N223" s="3" t="s">
        <v>28</v>
      </c>
      <c r="P223" s="3" t="s">
        <v>126</v>
      </c>
      <c r="S223" s="3" t="str">
        <f t="shared" si="3"/>
        <v>WITH ZDATA AS
(SELECT NVL(adm.UV_BEATMUNG,0) AS Value, 
'123' AS BusinessObjectKey, 
CASE WHEN 1=1 THEN 'BEATMUNG' ELSE 'OTHER' 
END AS Characteristic
FROM ADMINISTRATIVES adm
WHERE adm.UV_TARIF IN (1,2)
) 
SELECT 'SUM_0737' AS KeyFigureName,
'123456' AS ProcessingRunId, 
'12345' AS WaveId, 
Characteristic, BusinessObjectKey, 
SUM(Value) AS Value 
FROM ZDATA 
GROUP BY Characteristic, BusinessObjectKey
ORDER BY BusinessObjectKey;</v>
      </c>
    </row>
    <row r="224" spans="1:19" x14ac:dyDescent="0.2">
      <c r="A224" s="4">
        <v>737</v>
      </c>
      <c r="B224" s="3">
        <v>2</v>
      </c>
      <c r="C224" s="3" t="s">
        <v>479</v>
      </c>
      <c r="D224" s="3" t="s">
        <v>480</v>
      </c>
      <c r="E224" s="3" t="s">
        <v>21</v>
      </c>
      <c r="F224" s="3" t="s">
        <v>39</v>
      </c>
      <c r="G224" s="3" t="s">
        <v>40</v>
      </c>
      <c r="I224" s="3" t="s">
        <v>41</v>
      </c>
      <c r="M224" s="3" t="s">
        <v>481</v>
      </c>
      <c r="N224" s="3" t="s">
        <v>43</v>
      </c>
      <c r="O224" s="3" t="s">
        <v>482</v>
      </c>
      <c r="S224" s="3" t="str">
        <f t="shared" si="3"/>
        <v>WITH ZDATA AS
(SELECT NVL(kfc.VALUE,0)-NVL(kfc2.VALUE,0) AS Value, 
'123' AS BusinessObjectKey, 
kfc.CHARACTERISTIC AS Characteristic
FROM SUM_0737 kfc
JOIN PDP_SUM_0737 kfc2 ON kfc.BO_KEY = kfc2.BO_KEY AND kfc.CHARACTERISTIC = kfc2.CHARACTERISTIC
) 
SELECT 'VGL_ABS_0737' AS KeyFigureName,
'123456' AS ProcessingRunId, 
'12345' AS WaveId, 
Characteristic, BusinessObjectKey, 
Value AS Value 
FROM ZDATA 
ORDER BY BusinessObjectKey;</v>
      </c>
    </row>
    <row r="225" spans="1:19" x14ac:dyDescent="0.2">
      <c r="A225" s="4">
        <v>737</v>
      </c>
      <c r="B225" s="3">
        <v>2</v>
      </c>
      <c r="C225" s="3" t="s">
        <v>483</v>
      </c>
      <c r="D225" s="3" t="s">
        <v>480</v>
      </c>
      <c r="E225" s="3" t="s">
        <v>21</v>
      </c>
      <c r="F225" s="3" t="s">
        <v>54</v>
      </c>
      <c r="G225" s="3" t="s">
        <v>40</v>
      </c>
      <c r="I225" s="3" t="s">
        <v>41</v>
      </c>
      <c r="M225" s="3" t="s">
        <v>481</v>
      </c>
      <c r="N225" s="3" t="s">
        <v>43</v>
      </c>
      <c r="O225" s="3" t="s">
        <v>482</v>
      </c>
      <c r="P225" s="3" t="s">
        <v>55</v>
      </c>
      <c r="S225" s="3" t="str">
        <f t="shared" si="3"/>
        <v>WITH ZDATA AS
(SELECT TRUNC((NVL(kfc.VALUE,0)-NVL(kfc2.VALUE,0)) / kfc2.VALUE,10) AS Value, 
'123' AS BusinessObjectKey, 
kfc.CHARACTERISTIC AS Characteristic
FROM SUM_0737 kfc
JOIN PDP_SUM_0737 kfc2 ON kfc.BO_KEY = kfc2.BO_KEY AND kfc.CHARACTERISTIC = kfc2.CHARACTERISTIC
WHERE kfc2.VALUE &lt;&gt; 0 AND kfc2.VALUE IS NOT NULL
) 
SELECT 'VGL_REL_0737' AS KeyFigureName,
'123456' AS ProcessingRunId, 
'12345' AS WaveId, 
Characteristic, BusinessObjectKey, 
Value AS Value 
FROM ZDATA 
ORDER BY BusinessObjectKey;</v>
      </c>
    </row>
    <row r="226" spans="1:19" x14ac:dyDescent="0.2">
      <c r="A226" s="4">
        <v>738</v>
      </c>
      <c r="B226" s="3">
        <v>1</v>
      </c>
      <c r="C226" s="3" t="s">
        <v>484</v>
      </c>
      <c r="D226" s="3" t="s">
        <v>89</v>
      </c>
      <c r="E226" s="3" t="s">
        <v>21</v>
      </c>
      <c r="F226" s="3" t="s">
        <v>485</v>
      </c>
      <c r="H226" s="3" t="s">
        <v>61</v>
      </c>
      <c r="I226" s="3" t="s">
        <v>21</v>
      </c>
      <c r="J226" s="3" t="s">
        <v>486</v>
      </c>
      <c r="K226" s="3" t="s">
        <v>63</v>
      </c>
      <c r="L226" s="3" t="s">
        <v>26</v>
      </c>
      <c r="M226" s="3" t="s">
        <v>27</v>
      </c>
      <c r="N226" s="3" t="s">
        <v>28</v>
      </c>
      <c r="P226" s="3" t="s">
        <v>126</v>
      </c>
      <c r="S226" s="3" t="str">
        <f t="shared" si="3"/>
        <v>WITH ZDATA AS
(SELECT NVL(adm.UV_ADMIN_URLAUB,0) AS Value, 
'123' AS BusinessObjectKey, 
CASE WHEN 1=1 THEN 'URLAUB' ELSE 'OTHER' 
END AS Characteristic
FROM ADMINISTRATIVES adm
WHERE adm.UV_TARIF IN (1,2)
) 
SELECT 'SUM_0738_AKUT' AS KeyFigureName,
'123456' AS ProcessingRunId, 
'12345' AS WaveId, 
Characteristic, BusinessObjectKey, 
SUM(Value) AS Value 
FROM ZDATA 
GROUP BY Characteristic, BusinessObjectKey
ORDER BY BusinessObjectKey;</v>
      </c>
    </row>
    <row r="227" spans="1:19" x14ac:dyDescent="0.2">
      <c r="A227" s="4">
        <v>738</v>
      </c>
      <c r="B227" s="3">
        <v>1</v>
      </c>
      <c r="C227" s="3" t="s">
        <v>487</v>
      </c>
      <c r="D227" s="3" t="s">
        <v>89</v>
      </c>
      <c r="E227" s="3" t="s">
        <v>21</v>
      </c>
      <c r="F227" s="3" t="s">
        <v>485</v>
      </c>
      <c r="H227" s="3" t="s">
        <v>61</v>
      </c>
      <c r="I227" s="3" t="s">
        <v>21</v>
      </c>
      <c r="J227" s="3" t="s">
        <v>486</v>
      </c>
      <c r="K227" s="3" t="s">
        <v>63</v>
      </c>
      <c r="L227" s="3" t="s">
        <v>26</v>
      </c>
      <c r="M227" s="3" t="s">
        <v>27</v>
      </c>
      <c r="N227" s="3" t="s">
        <v>28</v>
      </c>
      <c r="P227" s="3" t="s">
        <v>128</v>
      </c>
      <c r="S227" s="3" t="str">
        <f t="shared" si="3"/>
        <v>WITH ZDATA AS
(SELECT NVL(adm.UV_ADMIN_URLAUB,0) AS Value, 
'123' AS BusinessObjectKey, 
CASE WHEN 1=1 THEN 'URLAUB' ELSE 'OTHER' 
END AS Characteristic
FROM ADMINISTRATIVES adm
WHERE adm.UV_TARIF IN (5,6)
) 
SELECT 'SUM_0738_PSY' AS KeyFigureName,
'123456' AS ProcessingRunId, 
'12345' AS WaveId, 
Characteristic, BusinessObjectKey, 
SUM(Value) AS Value 
FROM ZDATA 
GROUP BY Characteristic, BusinessObjectKey
ORDER BY BusinessObjectKey;</v>
      </c>
    </row>
    <row r="228" spans="1:19" x14ac:dyDescent="0.2">
      <c r="A228" s="4">
        <v>738</v>
      </c>
      <c r="B228" s="3">
        <v>1</v>
      </c>
      <c r="C228" s="3" t="s">
        <v>488</v>
      </c>
      <c r="D228" s="3" t="s">
        <v>89</v>
      </c>
      <c r="E228" s="3" t="s">
        <v>21</v>
      </c>
      <c r="F228" s="3" t="s">
        <v>485</v>
      </c>
      <c r="H228" s="3" t="s">
        <v>61</v>
      </c>
      <c r="I228" s="3" t="s">
        <v>21</v>
      </c>
      <c r="J228" s="3" t="s">
        <v>486</v>
      </c>
      <c r="K228" s="3" t="s">
        <v>63</v>
      </c>
      <c r="L228" s="3" t="s">
        <v>26</v>
      </c>
      <c r="M228" s="3" t="s">
        <v>27</v>
      </c>
      <c r="N228" s="3" t="s">
        <v>28</v>
      </c>
      <c r="P228" s="3" t="s">
        <v>130</v>
      </c>
      <c r="S228" s="3" t="str">
        <f t="shared" si="3"/>
        <v>WITH ZDATA AS
(SELECT NVL(adm.UV_ADMIN_URLAUB,0) AS Value, 
'123' AS BusinessObjectKey, 
CASE WHEN 1=1 THEN 'URLAUB' ELSE 'OTHER' 
END AS Characteristic
FROM ADMINISTRATIVES adm
WHERE adm.UV_TARIF IN (3,4)
) 
SELECT 'SUM_0738_REHA' AS KeyFigureName,
'123456' AS ProcessingRunId, 
'12345' AS WaveId, 
Characteristic, BusinessObjectKey, 
SUM(Value) AS Value 
FROM ZDATA 
GROUP BY Characteristic, BusinessObjectKey
ORDER BY BusinessObjectKey;</v>
      </c>
    </row>
    <row r="229" spans="1:19" x14ac:dyDescent="0.2">
      <c r="A229" s="4">
        <v>738</v>
      </c>
      <c r="B229" s="3">
        <v>2</v>
      </c>
      <c r="C229" s="3" t="s">
        <v>489</v>
      </c>
      <c r="D229" s="3" t="s">
        <v>490</v>
      </c>
      <c r="E229" s="3" t="s">
        <v>21</v>
      </c>
      <c r="F229" s="3" t="s">
        <v>39</v>
      </c>
      <c r="G229" s="3" t="s">
        <v>40</v>
      </c>
      <c r="I229" s="3" t="s">
        <v>41</v>
      </c>
      <c r="M229" s="3" t="s">
        <v>491</v>
      </c>
      <c r="N229" s="3" t="s">
        <v>43</v>
      </c>
      <c r="O229" s="3" t="s">
        <v>492</v>
      </c>
      <c r="S229" s="3" t="str">
        <f t="shared" si="3"/>
        <v>WITH ZDATA AS
(SELECT NVL(kfc.VALUE,0)-NVL(kfc2.VALUE,0) AS Value, 
'123' AS BusinessObjectKey, 
kfc.CHARACTERISTIC AS Characteristic
FROM SUM_0738_AKUT kfc
JOIN PDP_SUM_0738_AKUT kfc2 ON kfc.BO_KEY = kfc2.BO_KEY AND kfc.CHARACTERISTIC = kfc2.CHARACTERISTIC
) 
SELECT 'VGL_ABS_0738_AKUT' AS KeyFigureName,
'123456' AS ProcessingRunId, 
'12345' AS WaveId, 
Characteristic, BusinessObjectKey, 
Value AS Value 
FROM ZDATA 
ORDER BY BusinessObjectKey;</v>
      </c>
    </row>
    <row r="230" spans="1:19" x14ac:dyDescent="0.2">
      <c r="A230" s="4">
        <v>738</v>
      </c>
      <c r="B230" s="3">
        <v>2</v>
      </c>
      <c r="C230" s="3" t="s">
        <v>493</v>
      </c>
      <c r="D230" s="3" t="s">
        <v>494</v>
      </c>
      <c r="E230" s="3" t="s">
        <v>21</v>
      </c>
      <c r="F230" s="3" t="s">
        <v>39</v>
      </c>
      <c r="G230" s="3" t="s">
        <v>40</v>
      </c>
      <c r="I230" s="3" t="s">
        <v>41</v>
      </c>
      <c r="M230" s="3" t="s">
        <v>495</v>
      </c>
      <c r="N230" s="3" t="s">
        <v>43</v>
      </c>
      <c r="O230" s="3" t="s">
        <v>496</v>
      </c>
      <c r="S230" s="3" t="str">
        <f t="shared" si="3"/>
        <v>WITH ZDATA AS
(SELECT NVL(kfc.VALUE,0)-NVL(kfc2.VALUE,0) AS Value, 
'123' AS BusinessObjectKey, 
kfc.CHARACTERISTIC AS Characteristic
FROM SUM_0738_PSY kfc
JOIN PDP_SUM_0738_PSY kfc2 ON kfc.BO_KEY = kfc2.BO_KEY AND kfc.CHARACTERISTIC = kfc2.CHARACTERISTIC
) 
SELECT 'VGL_ABS_0738_PSY' AS KeyFigureName,
'123456' AS ProcessingRunId, 
'12345' AS WaveId, 
Characteristic, BusinessObjectKey, 
Value AS Value 
FROM ZDATA 
ORDER BY BusinessObjectKey;</v>
      </c>
    </row>
    <row r="231" spans="1:19" x14ac:dyDescent="0.2">
      <c r="A231" s="4">
        <v>738</v>
      </c>
      <c r="B231" s="3">
        <v>2</v>
      </c>
      <c r="C231" s="3" t="s">
        <v>497</v>
      </c>
      <c r="D231" s="3" t="s">
        <v>498</v>
      </c>
      <c r="E231" s="3" t="s">
        <v>21</v>
      </c>
      <c r="F231" s="3" t="s">
        <v>39</v>
      </c>
      <c r="G231" s="3" t="s">
        <v>40</v>
      </c>
      <c r="I231" s="3" t="s">
        <v>41</v>
      </c>
      <c r="M231" s="3" t="s">
        <v>499</v>
      </c>
      <c r="N231" s="3" t="s">
        <v>43</v>
      </c>
      <c r="O231" s="3" t="s">
        <v>500</v>
      </c>
      <c r="S231" s="3" t="str">
        <f t="shared" si="3"/>
        <v>WITH ZDATA AS
(SELECT NVL(kfc.VALUE,0)-NVL(kfc2.VALUE,0) AS Value, 
'123' AS BusinessObjectKey, 
kfc.CHARACTERISTIC AS Characteristic
FROM SUM_0738_REHA kfc
JOIN PDP_SUM_0738_REHA kfc2 ON kfc.BO_KEY = kfc2.BO_KEY AND kfc.CHARACTERISTIC = kfc2.CHARACTERISTIC
) 
SELECT 'VGL_ABS_0738_REHA' AS KeyFigureName,
'123456' AS ProcessingRunId, 
'12345' AS WaveId, 
Characteristic, BusinessObjectKey, 
Value AS Value 
FROM ZDATA 
ORDER BY BusinessObjectKey;</v>
      </c>
    </row>
    <row r="232" spans="1:19" x14ac:dyDescent="0.2">
      <c r="A232" s="4">
        <v>738</v>
      </c>
      <c r="B232" s="3">
        <v>2</v>
      </c>
      <c r="C232" s="3" t="s">
        <v>501</v>
      </c>
      <c r="D232" s="3" t="s">
        <v>490</v>
      </c>
      <c r="E232" s="3" t="s">
        <v>21</v>
      </c>
      <c r="F232" s="3" t="s">
        <v>54</v>
      </c>
      <c r="G232" s="3" t="s">
        <v>40</v>
      </c>
      <c r="I232" s="3" t="s">
        <v>41</v>
      </c>
      <c r="M232" s="3" t="s">
        <v>491</v>
      </c>
      <c r="N232" s="3" t="s">
        <v>43</v>
      </c>
      <c r="O232" s="3" t="s">
        <v>492</v>
      </c>
      <c r="P232" s="3" t="s">
        <v>55</v>
      </c>
      <c r="S232" s="3" t="str">
        <f t="shared" si="3"/>
        <v>WITH ZDATA AS
(SELECT TRUNC((NVL(kfc.VALUE,0)-NVL(kfc2.VALUE,0)) / kfc2.VALUE,10) AS Value, 
'123' AS BusinessObjectKey, 
kfc.CHARACTERISTIC AS Characteristic
FROM SUM_0738_AKUT kfc
JOIN PDP_SUM_0738_AKUT kfc2 ON kfc.BO_KEY = kfc2.BO_KEY AND kfc.CHARACTERISTIC = kfc2.CHARACTERISTIC
WHERE kfc2.VALUE &lt;&gt; 0 AND kfc2.VALUE IS NOT NULL
) 
SELECT 'VGL_REL_0738_AKUT' AS KeyFigureName,
'123456' AS ProcessingRunId, 
'12345' AS WaveId, 
Characteristic, BusinessObjectKey, 
Value AS Value 
FROM ZDATA 
ORDER BY BusinessObjectKey;</v>
      </c>
    </row>
    <row r="233" spans="1:19" x14ac:dyDescent="0.2">
      <c r="A233" s="4">
        <v>738</v>
      </c>
      <c r="B233" s="3">
        <v>2</v>
      </c>
      <c r="C233" s="3" t="s">
        <v>502</v>
      </c>
      <c r="D233" s="3" t="s">
        <v>494</v>
      </c>
      <c r="E233" s="3" t="s">
        <v>21</v>
      </c>
      <c r="F233" s="3" t="s">
        <v>54</v>
      </c>
      <c r="G233" s="3" t="s">
        <v>40</v>
      </c>
      <c r="I233" s="3" t="s">
        <v>41</v>
      </c>
      <c r="M233" s="3" t="s">
        <v>495</v>
      </c>
      <c r="N233" s="3" t="s">
        <v>43</v>
      </c>
      <c r="O233" s="3" t="s">
        <v>496</v>
      </c>
      <c r="P233" s="3" t="s">
        <v>55</v>
      </c>
      <c r="S233" s="3" t="str">
        <f t="shared" si="3"/>
        <v>WITH ZDATA AS
(SELECT TRUNC((NVL(kfc.VALUE,0)-NVL(kfc2.VALUE,0)) / kfc2.VALUE,10) AS Value, 
'123' AS BusinessObjectKey, 
kfc.CHARACTERISTIC AS Characteristic
FROM SUM_0738_PSY kfc
JOIN PDP_SUM_0738_PSY kfc2 ON kfc.BO_KEY = kfc2.BO_KEY AND kfc.CHARACTERISTIC = kfc2.CHARACTERISTIC
WHERE kfc2.VALUE &lt;&gt; 0 AND kfc2.VALUE IS NOT NULL
) 
SELECT 'VGL_REL_0738_PSY' AS KeyFigureName,
'123456' AS ProcessingRunId, 
'12345' AS WaveId, 
Characteristic, BusinessObjectKey, 
Value AS Value 
FROM ZDATA 
ORDER BY BusinessObjectKey;</v>
      </c>
    </row>
    <row r="234" spans="1:19" x14ac:dyDescent="0.2">
      <c r="A234" s="4">
        <v>738</v>
      </c>
      <c r="B234" s="3">
        <v>2</v>
      </c>
      <c r="C234" s="3" t="s">
        <v>503</v>
      </c>
      <c r="D234" s="3" t="s">
        <v>498</v>
      </c>
      <c r="E234" s="3" t="s">
        <v>21</v>
      </c>
      <c r="F234" s="3" t="s">
        <v>54</v>
      </c>
      <c r="G234" s="3" t="s">
        <v>40</v>
      </c>
      <c r="I234" s="3" t="s">
        <v>41</v>
      </c>
      <c r="M234" s="3" t="s">
        <v>499</v>
      </c>
      <c r="N234" s="3" t="s">
        <v>43</v>
      </c>
      <c r="O234" s="3" t="s">
        <v>500</v>
      </c>
      <c r="P234" s="3" t="s">
        <v>55</v>
      </c>
      <c r="S234" s="3" t="str">
        <f t="shared" si="3"/>
        <v>WITH ZDATA AS
(SELECT TRUNC((NVL(kfc.VALUE,0)-NVL(kfc2.VALUE,0)) / kfc2.VALUE,10) AS Value, 
'123' AS BusinessObjectKey, 
kfc.CHARACTERISTIC AS Characteristic
FROM SUM_0738_REHA kfc
JOIN PDP_SUM_0738_REHA kfc2 ON kfc.BO_KEY = kfc2.BO_KEY AND kfc.CHARACTERISTIC = kfc2.CHARACTERISTIC
WHERE kfc2.VALUE &lt;&gt; 0 AND kfc2.VALUE IS NOT NULL
) 
SELECT 'VGL_REL_0738_REHA' AS KeyFigureName,
'123456' AS ProcessingRunId, 
'12345' AS WaveId, 
Characteristic, BusinessObjectKey, 
Value AS Value 
FROM ZDATA 
ORDER BY BusinessObjectKey;</v>
      </c>
    </row>
    <row r="235" spans="1:19" x14ac:dyDescent="0.2">
      <c r="A235" s="4">
        <v>739</v>
      </c>
      <c r="B235" s="3">
        <v>1</v>
      </c>
      <c r="C235" s="3" t="s">
        <v>504</v>
      </c>
      <c r="D235" s="3" t="s">
        <v>89</v>
      </c>
      <c r="E235" s="3" t="s">
        <v>21</v>
      </c>
      <c r="F235" s="3" t="s">
        <v>505</v>
      </c>
      <c r="H235" s="3" t="s">
        <v>23</v>
      </c>
      <c r="I235" s="3" t="s">
        <v>21</v>
      </c>
      <c r="J235" s="3" t="s">
        <v>506</v>
      </c>
      <c r="K235" s="3" t="s">
        <v>507</v>
      </c>
      <c r="L235" s="3" t="s">
        <v>26</v>
      </c>
      <c r="M235" s="3" t="s">
        <v>27</v>
      </c>
      <c r="N235" s="3" t="s">
        <v>28</v>
      </c>
      <c r="P235" s="3" t="s">
        <v>92</v>
      </c>
      <c r="S235" s="3" t="str">
        <f t="shared" si="3"/>
        <v>WITH ZDATA AS
(SELECT adm.UV_AUSTRITTSENTSCHEID AS Value, 
'123' AS BusinessObjectKey, 
CASE WHEN adm.UV_AUSTRITTSENTSCHEID=1 THEN 'AUSTRITTSENTSCHEID_1'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6" spans="1:19" x14ac:dyDescent="0.2">
      <c r="A236" s="4">
        <v>739</v>
      </c>
      <c r="B236" s="3">
        <v>1</v>
      </c>
      <c r="C236" s="3" t="s">
        <v>504</v>
      </c>
      <c r="D236" s="3" t="s">
        <v>89</v>
      </c>
      <c r="E236" s="3" t="s">
        <v>21</v>
      </c>
      <c r="F236" s="3" t="s">
        <v>505</v>
      </c>
      <c r="H236" s="3" t="s">
        <v>23</v>
      </c>
      <c r="I236" s="3" t="s">
        <v>21</v>
      </c>
      <c r="J236" s="3" t="s">
        <v>508</v>
      </c>
      <c r="K236" s="3" t="s">
        <v>509</v>
      </c>
      <c r="L236" s="3" t="s">
        <v>26</v>
      </c>
      <c r="M236" s="3" t="s">
        <v>27</v>
      </c>
      <c r="N236" s="3" t="s">
        <v>28</v>
      </c>
      <c r="P236" s="3" t="s">
        <v>92</v>
      </c>
      <c r="S236" s="3" t="str">
        <f t="shared" si="3"/>
        <v>WITH ZDATA AS
(SELECT adm.UV_AUSTRITTSENTSCHEID AS Value, 
'123' AS BusinessObjectKey, 
CASE WHEN adm.UV_AUSTRITTSENTSCHEID=2 THEN 'AUSTRITTSENTSCHEID_2'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7" spans="1:19" x14ac:dyDescent="0.2">
      <c r="A237" s="4">
        <v>739</v>
      </c>
      <c r="B237" s="3">
        <v>1</v>
      </c>
      <c r="C237" s="3" t="s">
        <v>504</v>
      </c>
      <c r="D237" s="3" t="s">
        <v>89</v>
      </c>
      <c r="E237" s="3" t="s">
        <v>21</v>
      </c>
      <c r="F237" s="3" t="s">
        <v>505</v>
      </c>
      <c r="H237" s="3" t="s">
        <v>23</v>
      </c>
      <c r="I237" s="3" t="s">
        <v>21</v>
      </c>
      <c r="J237" s="3" t="s">
        <v>510</v>
      </c>
      <c r="K237" s="3" t="s">
        <v>511</v>
      </c>
      <c r="L237" s="3" t="s">
        <v>26</v>
      </c>
      <c r="M237" s="3" t="s">
        <v>27</v>
      </c>
      <c r="N237" s="3" t="s">
        <v>28</v>
      </c>
      <c r="P237" s="3" t="s">
        <v>92</v>
      </c>
      <c r="S237" s="3" t="str">
        <f t="shared" si="3"/>
        <v>WITH ZDATA AS
(SELECT adm.UV_AUSTRITTSENTSCHEID AS Value, 
'123' AS BusinessObjectKey, 
CASE WHEN adm.UV_AUSTRITTSENTSCHEID=3 THEN 'AUSTRITTSENTSCHEID_3'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8" spans="1:19" x14ac:dyDescent="0.2">
      <c r="A238" s="4">
        <v>739</v>
      </c>
      <c r="B238" s="3">
        <v>1</v>
      </c>
      <c r="C238" s="3" t="s">
        <v>504</v>
      </c>
      <c r="D238" s="3" t="s">
        <v>89</v>
      </c>
      <c r="E238" s="3" t="s">
        <v>21</v>
      </c>
      <c r="F238" s="3" t="s">
        <v>505</v>
      </c>
      <c r="H238" s="3" t="s">
        <v>23</v>
      </c>
      <c r="I238" s="3" t="s">
        <v>21</v>
      </c>
      <c r="J238" s="3" t="s">
        <v>512</v>
      </c>
      <c r="K238" s="3" t="s">
        <v>513</v>
      </c>
      <c r="L238" s="3" t="s">
        <v>26</v>
      </c>
      <c r="M238" s="3" t="s">
        <v>27</v>
      </c>
      <c r="N238" s="3" t="s">
        <v>28</v>
      </c>
      <c r="P238" s="3" t="s">
        <v>92</v>
      </c>
      <c r="S238" s="3" t="str">
        <f t="shared" si="3"/>
        <v>WITH ZDATA AS
(SELECT adm.UV_AUSTRITTSENTSCHEID AS Value, 
'123' AS BusinessObjectKey, 
CASE WHEN adm.UV_AUSTRITTSENTSCHEID=4 THEN 'AUSTRITTSENTSCHEID_4'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9" spans="1:19" x14ac:dyDescent="0.2">
      <c r="A239" s="4">
        <v>739</v>
      </c>
      <c r="B239" s="3">
        <v>1</v>
      </c>
      <c r="C239" s="3" t="s">
        <v>504</v>
      </c>
      <c r="D239" s="3" t="s">
        <v>89</v>
      </c>
      <c r="E239" s="3" t="s">
        <v>21</v>
      </c>
      <c r="F239" s="3" t="s">
        <v>505</v>
      </c>
      <c r="H239" s="3" t="s">
        <v>23</v>
      </c>
      <c r="I239" s="3" t="s">
        <v>21</v>
      </c>
      <c r="J239" s="3" t="s">
        <v>514</v>
      </c>
      <c r="K239" s="3" t="s">
        <v>515</v>
      </c>
      <c r="L239" s="3" t="s">
        <v>26</v>
      </c>
      <c r="M239" s="3" t="s">
        <v>27</v>
      </c>
      <c r="N239" s="3" t="s">
        <v>28</v>
      </c>
      <c r="P239" s="3" t="s">
        <v>92</v>
      </c>
      <c r="S239" s="3" t="str">
        <f t="shared" si="3"/>
        <v>WITH ZDATA AS
(SELECT adm.UV_AUSTRITTSENTSCHEID AS Value, 
'123' AS BusinessObjectKey, 
CASE WHEN adm.UV_AUSTRITTSENTSCHEID=5 THEN 'AUSTRITTSENTSCHEID_5'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0" spans="1:19" x14ac:dyDescent="0.2">
      <c r="A240" s="4">
        <v>739</v>
      </c>
      <c r="B240" s="3">
        <v>1</v>
      </c>
      <c r="C240" s="3" t="s">
        <v>504</v>
      </c>
      <c r="D240" s="3" t="s">
        <v>89</v>
      </c>
      <c r="E240" s="3" t="s">
        <v>21</v>
      </c>
      <c r="F240" s="3" t="s">
        <v>505</v>
      </c>
      <c r="H240" s="3" t="s">
        <v>23</v>
      </c>
      <c r="I240" s="3" t="s">
        <v>21</v>
      </c>
      <c r="J240" s="3" t="s">
        <v>516</v>
      </c>
      <c r="K240" s="3" t="s">
        <v>517</v>
      </c>
      <c r="L240" s="3" t="s">
        <v>26</v>
      </c>
      <c r="M240" s="3" t="s">
        <v>27</v>
      </c>
      <c r="N240" s="3" t="s">
        <v>28</v>
      </c>
      <c r="P240" s="3" t="s">
        <v>92</v>
      </c>
      <c r="S240" s="3" t="str">
        <f t="shared" si="3"/>
        <v>WITH ZDATA AS
(SELECT adm.UV_AUSTRITTSENTSCHEID AS Value, 
'123' AS BusinessObjectKey, 
CASE WHEN adm.UV_AUSTRITTSENTSCHEID=8 THEN 'AUSTRITTSENTSCHEID_8'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1" spans="1:19" x14ac:dyDescent="0.2">
      <c r="A241" s="4">
        <v>739</v>
      </c>
      <c r="B241" s="3">
        <v>1</v>
      </c>
      <c r="C241" s="3" t="s">
        <v>504</v>
      </c>
      <c r="D241" s="3" t="s">
        <v>89</v>
      </c>
      <c r="E241" s="3" t="s">
        <v>21</v>
      </c>
      <c r="F241" s="3" t="s">
        <v>505</v>
      </c>
      <c r="H241" s="3" t="s">
        <v>23</v>
      </c>
      <c r="I241" s="3" t="s">
        <v>21</v>
      </c>
      <c r="J241" s="3" t="s">
        <v>518</v>
      </c>
      <c r="K241" s="3" t="s">
        <v>519</v>
      </c>
      <c r="L241" s="3" t="s">
        <v>26</v>
      </c>
      <c r="M241" s="3" t="s">
        <v>27</v>
      </c>
      <c r="N241" s="3" t="s">
        <v>28</v>
      </c>
      <c r="P241" s="3" t="s">
        <v>92</v>
      </c>
      <c r="S241" s="3" t="str">
        <f t="shared" si="3"/>
        <v>WITH ZDATA AS
(SELECT adm.UV_AUSTRITTSENTSCHEID AS Value, 
'123' AS BusinessObjectKey, 
CASE WHEN adm.UV_AUSTRITTSENTSCHEID=9 THEN 'AUSTRITTSENTSCHEID_9'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2" spans="1:19" x14ac:dyDescent="0.2">
      <c r="A242" s="4">
        <v>739</v>
      </c>
      <c r="B242" s="3">
        <v>2</v>
      </c>
      <c r="C242" s="3" t="s">
        <v>520</v>
      </c>
      <c r="D242" s="3" t="s">
        <v>521</v>
      </c>
      <c r="E242" s="3" t="s">
        <v>21</v>
      </c>
      <c r="F242" s="3" t="s">
        <v>39</v>
      </c>
      <c r="G242" s="3" t="s">
        <v>40</v>
      </c>
      <c r="I242" s="3" t="s">
        <v>41</v>
      </c>
      <c r="M242" s="3" t="s">
        <v>522</v>
      </c>
      <c r="N242" s="3" t="s">
        <v>43</v>
      </c>
      <c r="O242" s="3" t="s">
        <v>523</v>
      </c>
      <c r="S242" s="3" t="str">
        <f t="shared" si="3"/>
        <v>WITH ZDATA AS
(SELECT NVL(kfc.VALUE,0)-NVL(kfc2.VALUE,0) AS Value, 
'123' AS BusinessObjectKey, 
kfc.CHARACTERISTIC AS Characteristic
FROM ANZ_0739 kfc
JOIN PDP_ANZ_0739 kfc2 ON kfc.BO_KEY = kfc2.BO_KEY AND kfc.CHARACTERISTIC = kfc2.CHARACTERISTIC
) 
SELECT 'VGL_ABS_0739' AS KeyFigureName,
'123456' AS ProcessingRunId, 
'12345' AS WaveId, 
Characteristic, BusinessObjectKey, 
Value AS Value 
FROM ZDATA 
ORDER BY BusinessObjectKey;</v>
      </c>
    </row>
    <row r="243" spans="1:19" x14ac:dyDescent="0.2">
      <c r="A243" s="4">
        <v>739</v>
      </c>
      <c r="B243" s="3">
        <v>2</v>
      </c>
      <c r="C243" s="3" t="s">
        <v>524</v>
      </c>
      <c r="D243" s="3" t="s">
        <v>521</v>
      </c>
      <c r="E243" s="3" t="s">
        <v>21</v>
      </c>
      <c r="F243" s="3" t="s">
        <v>54</v>
      </c>
      <c r="G243" s="3" t="s">
        <v>40</v>
      </c>
      <c r="I243" s="3" t="s">
        <v>41</v>
      </c>
      <c r="M243" s="3" t="s">
        <v>522</v>
      </c>
      <c r="N243" s="3" t="s">
        <v>43</v>
      </c>
      <c r="O243" s="3" t="s">
        <v>523</v>
      </c>
      <c r="P243" s="3" t="s">
        <v>55</v>
      </c>
      <c r="S243" s="3" t="str">
        <f t="shared" si="3"/>
        <v>WITH ZDATA AS
(SELECT TRUNC((NVL(kfc.VALUE,0)-NVL(kfc2.VALUE,0)) / kfc2.VALUE,10) AS Value, 
'123' AS BusinessObjectKey, 
kfc.CHARACTERISTIC AS Characteristic
FROM ANZ_0739 kfc
JOIN PDP_ANZ_0739 kfc2 ON kfc.BO_KEY = kfc2.BO_KEY AND kfc.CHARACTERISTIC = kfc2.CHARACTERISTIC
WHERE kfc2.VALUE &lt;&gt; 0 AND kfc2.VALUE IS NOT NULL
) 
SELECT 'VGL_REL_0739' AS KeyFigureName,
'123456' AS ProcessingRunId, 
'12345' AS WaveId, 
Characteristic, BusinessObjectKey, 
Value AS Value 
FROM ZDATA 
ORDER BY BusinessObjectKey;</v>
      </c>
    </row>
    <row r="244" spans="1:19" x14ac:dyDescent="0.2">
      <c r="A244" s="4">
        <v>740</v>
      </c>
      <c r="B244" s="3">
        <v>1</v>
      </c>
      <c r="C244" s="3" t="s">
        <v>525</v>
      </c>
      <c r="D244" s="3" t="s">
        <v>89</v>
      </c>
      <c r="E244" s="3" t="s">
        <v>21</v>
      </c>
      <c r="F244" s="3" t="s">
        <v>526</v>
      </c>
      <c r="H244" s="3" t="s">
        <v>23</v>
      </c>
      <c r="I244" s="3" t="s">
        <v>21</v>
      </c>
      <c r="J244" s="3" t="s">
        <v>527</v>
      </c>
      <c r="K244" s="3" t="s">
        <v>528</v>
      </c>
      <c r="L244" s="3" t="s">
        <v>26</v>
      </c>
      <c r="M244" s="3" t="s">
        <v>27</v>
      </c>
      <c r="N244" s="3" t="s">
        <v>28</v>
      </c>
      <c r="P244" s="3" t="s">
        <v>92</v>
      </c>
      <c r="S244" s="3" t="str">
        <f t="shared" si="3"/>
        <v>WITH ZDATA AS
(SELECT adm.UV_AUSTRITT_AUFENTHALT AS Value, 
'123' AS BusinessObjectKey, 
CASE WHEN adm.UV_AUSTRITT_AUFENTHALT=0 THEN 'AUSTRITT_AUFENTHALT_0'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5" spans="1:19" x14ac:dyDescent="0.2">
      <c r="A245" s="4">
        <v>740</v>
      </c>
      <c r="B245" s="3">
        <v>1</v>
      </c>
      <c r="C245" s="3" t="s">
        <v>525</v>
      </c>
      <c r="D245" s="3" t="s">
        <v>89</v>
      </c>
      <c r="E245" s="3" t="s">
        <v>21</v>
      </c>
      <c r="F245" s="3" t="s">
        <v>526</v>
      </c>
      <c r="H245" s="3" t="s">
        <v>23</v>
      </c>
      <c r="I245" s="3" t="s">
        <v>21</v>
      </c>
      <c r="J245" s="3" t="s">
        <v>529</v>
      </c>
      <c r="K245" s="3" t="s">
        <v>530</v>
      </c>
      <c r="L245" s="3" t="s">
        <v>26</v>
      </c>
      <c r="M245" s="3" t="s">
        <v>27</v>
      </c>
      <c r="N245" s="3" t="s">
        <v>28</v>
      </c>
      <c r="P245" s="3" t="s">
        <v>92</v>
      </c>
      <c r="S245" s="3" t="str">
        <f t="shared" si="3"/>
        <v>WITH ZDATA AS
(SELECT adm.UV_AUSTRITT_AUFENTHALT AS Value, 
'123' AS BusinessObjectKey, 
CASE WHEN adm.UV_AUSTRITT_AUFENTHALT=1 THEN 'AUSTRITT_AUFENTHALT_1'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6" spans="1:19" x14ac:dyDescent="0.2">
      <c r="A246" s="4">
        <v>740</v>
      </c>
      <c r="B246" s="3">
        <v>1</v>
      </c>
      <c r="C246" s="3" t="s">
        <v>525</v>
      </c>
      <c r="D246" s="3" t="s">
        <v>89</v>
      </c>
      <c r="E246" s="3" t="s">
        <v>21</v>
      </c>
      <c r="F246" s="3" t="s">
        <v>526</v>
      </c>
      <c r="H246" s="3" t="s">
        <v>23</v>
      </c>
      <c r="I246" s="3" t="s">
        <v>21</v>
      </c>
      <c r="J246" s="3" t="s">
        <v>531</v>
      </c>
      <c r="K246" s="3" t="s">
        <v>532</v>
      </c>
      <c r="L246" s="3" t="s">
        <v>26</v>
      </c>
      <c r="M246" s="3" t="s">
        <v>27</v>
      </c>
      <c r="N246" s="3" t="s">
        <v>28</v>
      </c>
      <c r="P246" s="3" t="s">
        <v>92</v>
      </c>
      <c r="S246" s="3" t="str">
        <f t="shared" si="3"/>
        <v>WITH ZDATA AS
(SELECT adm.UV_AUSTRITT_AUFENTHALT AS Value, 
'123' AS BusinessObjectKey, 
CASE WHEN adm.UV_AUSTRITT_AUFENTHALT IN (2,3) THEN 'AUSTRITT_AUFENTHALT_2_3'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7" spans="1:19" x14ac:dyDescent="0.2">
      <c r="A247" s="4">
        <v>740</v>
      </c>
      <c r="B247" s="3">
        <v>1</v>
      </c>
      <c r="C247" s="3" t="s">
        <v>525</v>
      </c>
      <c r="D247" s="3" t="s">
        <v>89</v>
      </c>
      <c r="E247" s="3" t="s">
        <v>21</v>
      </c>
      <c r="F247" s="3" t="s">
        <v>526</v>
      </c>
      <c r="H247" s="3" t="s">
        <v>23</v>
      </c>
      <c r="I247" s="3" t="s">
        <v>21</v>
      </c>
      <c r="J247" s="3" t="s">
        <v>533</v>
      </c>
      <c r="K247" s="3" t="s">
        <v>534</v>
      </c>
      <c r="L247" s="3" t="s">
        <v>26</v>
      </c>
      <c r="M247" s="3" t="s">
        <v>27</v>
      </c>
      <c r="N247" s="3" t="s">
        <v>28</v>
      </c>
      <c r="P247" s="3" t="s">
        <v>92</v>
      </c>
      <c r="S247" s="3" t="str">
        <f t="shared" si="3"/>
        <v>WITH ZDATA AS
(SELECT adm.UV_AUSTRITT_AUFENTHALT AS Value, 
'123' AS BusinessObjectKey, 
CASE WHEN adm.UV_AUSTRITT_AUFENTHALT IN (4,44) THEN 'AUSTRITT_AUFENTHALT_4_44'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8" spans="1:19" x14ac:dyDescent="0.2">
      <c r="A248" s="4">
        <v>740</v>
      </c>
      <c r="B248" s="3">
        <v>1</v>
      </c>
      <c r="C248" s="3" t="s">
        <v>525</v>
      </c>
      <c r="D248" s="3" t="s">
        <v>89</v>
      </c>
      <c r="E248" s="3" t="s">
        <v>21</v>
      </c>
      <c r="F248" s="3" t="s">
        <v>526</v>
      </c>
      <c r="H248" s="3" t="s">
        <v>23</v>
      </c>
      <c r="I248" s="3" t="s">
        <v>21</v>
      </c>
      <c r="J248" s="3" t="s">
        <v>535</v>
      </c>
      <c r="K248" s="3" t="s">
        <v>536</v>
      </c>
      <c r="L248" s="3" t="s">
        <v>26</v>
      </c>
      <c r="M248" s="3" t="s">
        <v>27</v>
      </c>
      <c r="N248" s="3" t="s">
        <v>28</v>
      </c>
      <c r="P248" s="3" t="s">
        <v>92</v>
      </c>
      <c r="S248" s="3" t="str">
        <f t="shared" si="3"/>
        <v>WITH ZDATA AS
(SELECT adm.UV_AUSTRITT_AUFENTHALT AS Value, 
'123' AS BusinessObjectKey, 
CASE WHEN adm.UV_AUSTRITT_AUFENTHALT IN (5,55) THEN 'AUSTRITT_AUFENTHALT_5_55'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9" spans="1:19" x14ac:dyDescent="0.2">
      <c r="A249" s="4">
        <v>740</v>
      </c>
      <c r="B249" s="3">
        <v>1</v>
      </c>
      <c r="C249" s="3" t="s">
        <v>525</v>
      </c>
      <c r="D249" s="3" t="s">
        <v>89</v>
      </c>
      <c r="E249" s="3" t="s">
        <v>21</v>
      </c>
      <c r="F249" s="3" t="s">
        <v>526</v>
      </c>
      <c r="H249" s="3" t="s">
        <v>23</v>
      </c>
      <c r="I249" s="3" t="s">
        <v>21</v>
      </c>
      <c r="J249" s="3" t="s">
        <v>537</v>
      </c>
      <c r="K249" s="3" t="s">
        <v>538</v>
      </c>
      <c r="L249" s="3" t="s">
        <v>26</v>
      </c>
      <c r="M249" s="3" t="s">
        <v>27</v>
      </c>
      <c r="N249" s="3" t="s">
        <v>28</v>
      </c>
      <c r="P249" s="3" t="s">
        <v>92</v>
      </c>
      <c r="S249" s="3" t="str">
        <f t="shared" si="3"/>
        <v>WITH ZDATA AS
(SELECT adm.UV_AUSTRITT_AUFENTHALT AS Value, 
'123' AS BusinessObjectKey, 
CASE WHEN adm.UV_AUSTRITT_AUFENTHALT IN (6,66) THEN 'AUSTRITT_AUFENTHALT_6_66'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0" spans="1:19" x14ac:dyDescent="0.2">
      <c r="A250" s="4">
        <v>740</v>
      </c>
      <c r="B250" s="3">
        <v>1</v>
      </c>
      <c r="C250" s="3" t="s">
        <v>525</v>
      </c>
      <c r="D250" s="3" t="s">
        <v>89</v>
      </c>
      <c r="E250" s="3" t="s">
        <v>21</v>
      </c>
      <c r="F250" s="3" t="s">
        <v>526</v>
      </c>
      <c r="H250" s="3" t="s">
        <v>23</v>
      </c>
      <c r="I250" s="3" t="s">
        <v>21</v>
      </c>
      <c r="J250" s="3" t="s">
        <v>539</v>
      </c>
      <c r="K250" s="3" t="s">
        <v>540</v>
      </c>
      <c r="L250" s="3" t="s">
        <v>26</v>
      </c>
      <c r="M250" s="3" t="s">
        <v>27</v>
      </c>
      <c r="N250" s="3" t="s">
        <v>28</v>
      </c>
      <c r="P250" s="3" t="s">
        <v>92</v>
      </c>
      <c r="S250" s="3" t="str">
        <f t="shared" si="3"/>
        <v>WITH ZDATA AS
(SELECT adm.UV_AUSTRITT_AUFENTHALT AS Value, 
'123' AS BusinessObjectKey, 
CASE WHEN adm.UV_AUSTRITT_AUFENTHALT=7 THEN 'AUSTRITT_AUFENTHALT_7'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1" spans="1:19" x14ac:dyDescent="0.2">
      <c r="A251" s="4">
        <v>740</v>
      </c>
      <c r="B251" s="3">
        <v>1</v>
      </c>
      <c r="C251" s="3" t="s">
        <v>525</v>
      </c>
      <c r="D251" s="3" t="s">
        <v>89</v>
      </c>
      <c r="E251" s="3" t="s">
        <v>21</v>
      </c>
      <c r="F251" s="3" t="s">
        <v>526</v>
      </c>
      <c r="H251" s="3" t="s">
        <v>23</v>
      </c>
      <c r="I251" s="3" t="s">
        <v>21</v>
      </c>
      <c r="J251" s="3" t="s">
        <v>541</v>
      </c>
      <c r="K251" s="3" t="s">
        <v>542</v>
      </c>
      <c r="L251" s="3" t="s">
        <v>26</v>
      </c>
      <c r="M251" s="3" t="s">
        <v>27</v>
      </c>
      <c r="N251" s="3" t="s">
        <v>28</v>
      </c>
      <c r="P251" s="3" t="s">
        <v>92</v>
      </c>
      <c r="S251" s="3" t="str">
        <f t="shared" si="3"/>
        <v>WITH ZDATA AS
(SELECT adm.UV_AUSTRITT_AUFENTHALT AS Value, 
'123' AS BusinessObjectKey, 
CASE WHEN adm.UV_AUSTRITT_AUFENTHALT=8 THEN 'AUSTRITT_AUFENTHALT_8'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2" spans="1:19" x14ac:dyDescent="0.2">
      <c r="A252" s="4">
        <v>740</v>
      </c>
      <c r="B252" s="3">
        <v>1</v>
      </c>
      <c r="C252" s="3" t="s">
        <v>525</v>
      </c>
      <c r="D252" s="3" t="s">
        <v>89</v>
      </c>
      <c r="E252" s="3" t="s">
        <v>21</v>
      </c>
      <c r="F252" s="3" t="s">
        <v>526</v>
      </c>
      <c r="H252" s="3" t="s">
        <v>23</v>
      </c>
      <c r="I252" s="3" t="s">
        <v>21</v>
      </c>
      <c r="J252" s="3" t="s">
        <v>543</v>
      </c>
      <c r="K252" s="3" t="s">
        <v>544</v>
      </c>
      <c r="L252" s="3" t="s">
        <v>26</v>
      </c>
      <c r="M252" s="3" t="s">
        <v>27</v>
      </c>
      <c r="N252" s="3" t="s">
        <v>28</v>
      </c>
      <c r="P252" s="3" t="s">
        <v>92</v>
      </c>
      <c r="S252" s="3" t="str">
        <f t="shared" si="3"/>
        <v>WITH ZDATA AS
(SELECT adm.UV_AUSTRITT_AUFENTHALT AS Value, 
'123' AS BusinessObjectKey, 
CASE WHEN adm.UV_AUSTRITT_AUFENTHALT=9 THEN 'AUSTRITT_AUFENTHALT_9'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3" spans="1:19" x14ac:dyDescent="0.2">
      <c r="A253" s="4">
        <v>740</v>
      </c>
      <c r="B253" s="3">
        <v>2</v>
      </c>
      <c r="C253" s="3" t="s">
        <v>545</v>
      </c>
      <c r="D253" s="3" t="s">
        <v>546</v>
      </c>
      <c r="E253" s="3" t="s">
        <v>21</v>
      </c>
      <c r="F253" s="3" t="s">
        <v>39</v>
      </c>
      <c r="G253" s="3" t="s">
        <v>40</v>
      </c>
      <c r="I253" s="3" t="s">
        <v>41</v>
      </c>
      <c r="M253" s="3" t="s">
        <v>547</v>
      </c>
      <c r="N253" s="3" t="s">
        <v>43</v>
      </c>
      <c r="O253" s="3" t="s">
        <v>548</v>
      </c>
      <c r="S253" s="3" t="str">
        <f t="shared" si="3"/>
        <v>WITH ZDATA AS
(SELECT NVL(kfc.VALUE,0)-NVL(kfc2.VALUE,0) AS Value, 
'123' AS BusinessObjectKey, 
kfc.CHARACTERISTIC AS Characteristic
FROM ANZ_0740 kfc
JOIN PDP_ANZ_0740 kfc2 ON kfc.BO_KEY = kfc2.BO_KEY AND kfc.CHARACTERISTIC = kfc2.CHARACTERISTIC
) 
SELECT 'VGL_ABS_0740' AS KeyFigureName,
'123456' AS ProcessingRunId, 
'12345' AS WaveId, 
Characteristic, BusinessObjectKey, 
Value AS Value 
FROM ZDATA 
ORDER BY BusinessObjectKey;</v>
      </c>
    </row>
    <row r="254" spans="1:19" x14ac:dyDescent="0.2">
      <c r="A254" s="4">
        <v>740</v>
      </c>
      <c r="B254" s="3">
        <v>2</v>
      </c>
      <c r="C254" s="3" t="s">
        <v>549</v>
      </c>
      <c r="D254" s="3" t="s">
        <v>546</v>
      </c>
      <c r="E254" s="3" t="s">
        <v>21</v>
      </c>
      <c r="F254" s="3" t="s">
        <v>54</v>
      </c>
      <c r="G254" s="3" t="s">
        <v>40</v>
      </c>
      <c r="I254" s="3" t="s">
        <v>41</v>
      </c>
      <c r="M254" s="3" t="s">
        <v>547</v>
      </c>
      <c r="N254" s="3" t="s">
        <v>43</v>
      </c>
      <c r="O254" s="3" t="s">
        <v>548</v>
      </c>
      <c r="P254" s="3" t="s">
        <v>55</v>
      </c>
      <c r="S254" s="3" t="str">
        <f t="shared" si="3"/>
        <v>WITH ZDATA AS
(SELECT TRUNC((NVL(kfc.VALUE,0)-NVL(kfc2.VALUE,0)) / kfc2.VALUE,10) AS Value, 
'123' AS BusinessObjectKey, 
kfc.CHARACTERISTIC AS Characteristic
FROM ANZ_0740 kfc
JOIN PDP_ANZ_0740 kfc2 ON kfc.BO_KEY = kfc2.BO_KEY AND kfc.CHARACTERISTIC = kfc2.CHARACTERISTIC
WHERE kfc2.VALUE &lt;&gt; 0 AND kfc2.VALUE IS NOT NULL
) 
SELECT 'VGL_REL_0740' AS KeyFigureName,
'123456' AS ProcessingRunId, 
'12345' AS WaveId, 
Characteristic, BusinessObjectKey, 
Value AS Value 
FROM ZDATA 
ORDER BY BusinessObjectKey;</v>
      </c>
    </row>
    <row r="255" spans="1:19" x14ac:dyDescent="0.2">
      <c r="A255" s="4">
        <v>741</v>
      </c>
      <c r="B255" s="3">
        <v>1</v>
      </c>
      <c r="C255" s="3" t="s">
        <v>550</v>
      </c>
      <c r="D255" s="3" t="s">
        <v>89</v>
      </c>
      <c r="E255" s="3" t="s">
        <v>21</v>
      </c>
      <c r="F255" s="3" t="s">
        <v>551</v>
      </c>
      <c r="H255" s="3" t="s">
        <v>23</v>
      </c>
      <c r="I255" s="3" t="s">
        <v>21</v>
      </c>
      <c r="J255" s="3" t="s">
        <v>552</v>
      </c>
      <c r="K255" s="3" t="s">
        <v>553</v>
      </c>
      <c r="L255" s="3" t="s">
        <v>26</v>
      </c>
      <c r="M255" s="3" t="s">
        <v>27</v>
      </c>
      <c r="N255" s="3" t="s">
        <v>28</v>
      </c>
      <c r="P255" s="3" t="s">
        <v>92</v>
      </c>
      <c r="S255" s="3" t="str">
        <f t="shared" si="3"/>
        <v>WITH ZDATA AS
(SELECT adm.UV_AUSTRITT_BEHANDLUNG AS Value, 
'123' AS BusinessObjectKey, 
CASE WHEN adm.UV_AUSTRITT_BEHANDLUNG=0 THEN 'AUSTRITT_BEHANDLUNG_0'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6" spans="1:19" x14ac:dyDescent="0.2">
      <c r="A256" s="4">
        <v>741</v>
      </c>
      <c r="B256" s="3">
        <v>1</v>
      </c>
      <c r="C256" s="3" t="s">
        <v>550</v>
      </c>
      <c r="D256" s="3" t="s">
        <v>89</v>
      </c>
      <c r="E256" s="3" t="s">
        <v>21</v>
      </c>
      <c r="F256" s="3" t="s">
        <v>551</v>
      </c>
      <c r="H256" s="3" t="s">
        <v>23</v>
      </c>
      <c r="I256" s="3" t="s">
        <v>21</v>
      </c>
      <c r="J256" s="3" t="s">
        <v>554</v>
      </c>
      <c r="K256" s="3" t="s">
        <v>555</v>
      </c>
      <c r="L256" s="3" t="s">
        <v>26</v>
      </c>
      <c r="M256" s="3" t="s">
        <v>27</v>
      </c>
      <c r="N256" s="3" t="s">
        <v>28</v>
      </c>
      <c r="P256" s="3" t="s">
        <v>92</v>
      </c>
      <c r="S256" s="3" t="str">
        <f t="shared" si="3"/>
        <v>WITH ZDATA AS
(SELECT adm.UV_AUSTRITT_BEHANDLUNG AS Value, 
'123' AS BusinessObjectKey, 
CASE WHEN adm.UV_AUSTRITT_BEHANDLUNG=1 THEN 'AUSTRITT_BEHANDLUNG_1'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7" spans="1:19" x14ac:dyDescent="0.2">
      <c r="A257" s="4">
        <v>741</v>
      </c>
      <c r="B257" s="3">
        <v>1</v>
      </c>
      <c r="C257" s="3" t="s">
        <v>550</v>
      </c>
      <c r="D257" s="3" t="s">
        <v>89</v>
      </c>
      <c r="E257" s="3" t="s">
        <v>21</v>
      </c>
      <c r="F257" s="3" t="s">
        <v>551</v>
      </c>
      <c r="H257" s="3" t="s">
        <v>23</v>
      </c>
      <c r="I257" s="3" t="s">
        <v>21</v>
      </c>
      <c r="J257" s="3" t="s">
        <v>556</v>
      </c>
      <c r="K257" s="3" t="s">
        <v>557</v>
      </c>
      <c r="L257" s="3" t="s">
        <v>26</v>
      </c>
      <c r="M257" s="3" t="s">
        <v>27</v>
      </c>
      <c r="N257" s="3" t="s">
        <v>28</v>
      </c>
      <c r="P257" s="3" t="s">
        <v>92</v>
      </c>
      <c r="S257" s="3" t="str">
        <f t="shared" si="3"/>
        <v>WITH ZDATA AS
(SELECT adm.UV_AUSTRITT_BEHANDLUNG AS Value, 
'123' AS BusinessObjectKey, 
CASE WHEN adm.UV_AUSTRITT_BEHANDLUNG=2 THEN 'AUSTRITT_BEHANDLUNG_2'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8" spans="1:19" x14ac:dyDescent="0.2">
      <c r="A258" s="4">
        <v>741</v>
      </c>
      <c r="B258" s="3">
        <v>1</v>
      </c>
      <c r="C258" s="3" t="s">
        <v>550</v>
      </c>
      <c r="D258" s="3" t="s">
        <v>89</v>
      </c>
      <c r="E258" s="3" t="s">
        <v>21</v>
      </c>
      <c r="F258" s="3" t="s">
        <v>551</v>
      </c>
      <c r="H258" s="3" t="s">
        <v>23</v>
      </c>
      <c r="I258" s="3" t="s">
        <v>21</v>
      </c>
      <c r="J258" s="3" t="s">
        <v>558</v>
      </c>
      <c r="K258" s="3" t="s">
        <v>559</v>
      </c>
      <c r="L258" s="3" t="s">
        <v>26</v>
      </c>
      <c r="M258" s="3" t="s">
        <v>27</v>
      </c>
      <c r="N258" s="3" t="s">
        <v>28</v>
      </c>
      <c r="P258" s="3" t="s">
        <v>92</v>
      </c>
      <c r="S258" s="3" t="str">
        <f t="shared" ref="S258:S323" si="4">IF(F258="","","WITH ZDATA AS
(SELECT "&amp;F258&amp;" AS Value, 
'123' AS BusinessObjectKey, 
"&amp;IF(I258="False","CASE WHEN "&amp;K258&amp;" THEN '"&amp;J258&amp;"' ELSE '"&amp;L258&amp;"' 
END AS Characteristic",G258)&amp;"
FROM "&amp;M258&amp;"
"&amp;O258&amp;"
"&amp;IF(P258="","", "WHERE "&amp;P258)&amp;"
"&amp;IF(Q258="","", "GROUP BY "&amp;Q258)&amp;"
"&amp;IF(R258="","", "HAVING "&amp;R258)&amp;"
) 
SELECT '"&amp;C258&amp;"' AS KeyFigureName,
'123456' AS ProcessingRunId, 
'12345' AS WaveId, 
Characteristic, BusinessObjectKey, 
"&amp;IF(H258="","Value",H258)&amp;" AS Value 
FROM ZDATA 
"&amp;IF(I258="False","GROUP BY Characteristic, BusinessObjectKey","")&amp;"
ORDER BY BusinessObjectKey;")</f>
        <v>WITH ZDATA AS
(SELECT adm.UV_AUSTRITT_BEHANDLUNG AS Value, 
'123' AS BusinessObjectKey, 
CASE WHEN adm.UV_AUSTRITT_BEHANDLUNG=3 THEN 'AUSTRITT_BEHANDLUNG_3'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9" spans="1:19" x14ac:dyDescent="0.2">
      <c r="A259" s="4">
        <v>741</v>
      </c>
      <c r="B259" s="3">
        <v>1</v>
      </c>
      <c r="C259" s="3" t="s">
        <v>550</v>
      </c>
      <c r="D259" s="3" t="s">
        <v>89</v>
      </c>
      <c r="E259" s="3" t="s">
        <v>21</v>
      </c>
      <c r="F259" s="3" t="s">
        <v>551</v>
      </c>
      <c r="H259" s="3" t="s">
        <v>23</v>
      </c>
      <c r="I259" s="3" t="s">
        <v>21</v>
      </c>
      <c r="J259" s="3" t="s">
        <v>560</v>
      </c>
      <c r="K259" s="3" t="s">
        <v>561</v>
      </c>
      <c r="L259" s="3" t="s">
        <v>26</v>
      </c>
      <c r="M259" s="3" t="s">
        <v>27</v>
      </c>
      <c r="N259" s="3" t="s">
        <v>28</v>
      </c>
      <c r="P259" s="3" t="s">
        <v>92</v>
      </c>
      <c r="S259" s="3" t="str">
        <f t="shared" si="4"/>
        <v>WITH ZDATA AS
(SELECT adm.UV_AUSTRITT_BEHANDLUNG AS Value, 
'123' AS BusinessObjectKey, 
CASE WHEN adm.UV_AUSTRITT_BEHANDLUNG=4 THEN 'AUSTRITT_BEHANDLUNG_4'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0" spans="1:19" x14ac:dyDescent="0.2">
      <c r="A260" s="4">
        <v>741</v>
      </c>
      <c r="B260" s="3">
        <v>1</v>
      </c>
      <c r="C260" s="3" t="s">
        <v>550</v>
      </c>
      <c r="D260" s="3" t="s">
        <v>89</v>
      </c>
      <c r="E260" s="3" t="s">
        <v>21</v>
      </c>
      <c r="F260" s="3" t="s">
        <v>551</v>
      </c>
      <c r="H260" s="3" t="s">
        <v>23</v>
      </c>
      <c r="I260" s="3" t="s">
        <v>21</v>
      </c>
      <c r="J260" s="3" t="s">
        <v>562</v>
      </c>
      <c r="K260" s="3" t="s">
        <v>563</v>
      </c>
      <c r="L260" s="3" t="s">
        <v>26</v>
      </c>
      <c r="M260" s="3" t="s">
        <v>27</v>
      </c>
      <c r="N260" s="3" t="s">
        <v>28</v>
      </c>
      <c r="P260" s="3" t="s">
        <v>92</v>
      </c>
      <c r="S260" s="3" t="str">
        <f t="shared" si="4"/>
        <v>WITH ZDATA AS
(SELECT adm.UV_AUSTRITT_BEHANDLUNG AS Value, 
'123' AS BusinessObjectKey, 
CASE WHEN adm.UV_AUSTRITT_BEHANDLUNG=5 THEN 'AUSTRITT_BEHANDLUNG_5'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1" spans="1:19" x14ac:dyDescent="0.2">
      <c r="A261" s="4">
        <v>741</v>
      </c>
      <c r="B261" s="3">
        <v>1</v>
      </c>
      <c r="C261" s="3" t="s">
        <v>550</v>
      </c>
      <c r="D261" s="3" t="s">
        <v>89</v>
      </c>
      <c r="E261" s="3" t="s">
        <v>21</v>
      </c>
      <c r="F261" s="3" t="s">
        <v>551</v>
      </c>
      <c r="H261" s="3" t="s">
        <v>23</v>
      </c>
      <c r="I261" s="3" t="s">
        <v>21</v>
      </c>
      <c r="J261" s="3" t="s">
        <v>564</v>
      </c>
      <c r="K261" s="3" t="s">
        <v>565</v>
      </c>
      <c r="L261" s="3" t="s">
        <v>26</v>
      </c>
      <c r="M261" s="3" t="s">
        <v>27</v>
      </c>
      <c r="N261" s="3" t="s">
        <v>28</v>
      </c>
      <c r="P261" s="3" t="s">
        <v>92</v>
      </c>
      <c r="S261" s="3" t="str">
        <f t="shared" si="4"/>
        <v>WITH ZDATA AS
(SELECT adm.UV_AUSTRITT_BEHANDLUNG AS Value, 
'123' AS BusinessObjectKey, 
CASE WHEN adm.UV_AUSTRITT_BEHANDLUNG=8 THEN 'AUSTRITT_BEHANDLUNG_8'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2" spans="1:19" x14ac:dyDescent="0.2">
      <c r="A262" s="4">
        <v>741</v>
      </c>
      <c r="B262" s="3">
        <v>1</v>
      </c>
      <c r="C262" s="3" t="s">
        <v>550</v>
      </c>
      <c r="D262" s="3" t="s">
        <v>89</v>
      </c>
      <c r="E262" s="3" t="s">
        <v>21</v>
      </c>
      <c r="F262" s="3" t="s">
        <v>551</v>
      </c>
      <c r="H262" s="3" t="s">
        <v>23</v>
      </c>
      <c r="I262" s="3" t="s">
        <v>21</v>
      </c>
      <c r="J262" s="3" t="s">
        <v>566</v>
      </c>
      <c r="K262" s="3" t="s">
        <v>567</v>
      </c>
      <c r="L262" s="3" t="s">
        <v>26</v>
      </c>
      <c r="M262" s="3" t="s">
        <v>27</v>
      </c>
      <c r="N262" s="3" t="s">
        <v>28</v>
      </c>
      <c r="P262" s="3" t="s">
        <v>92</v>
      </c>
      <c r="S262" s="3" t="str">
        <f t="shared" si="4"/>
        <v>WITH ZDATA AS
(SELECT adm.UV_AUSTRITT_BEHANDLUNG AS Value, 
'123' AS BusinessObjectKey, 
CASE WHEN adm.UV_AUSTRITT_BEHANDLUNG=9 THEN 'AUSTRITT_BEHANDLUNG_9'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3" spans="1:19" x14ac:dyDescent="0.2">
      <c r="A263" s="4">
        <v>741</v>
      </c>
      <c r="B263" s="3">
        <v>2</v>
      </c>
      <c r="C263" s="3" t="s">
        <v>568</v>
      </c>
      <c r="D263" s="3" t="s">
        <v>569</v>
      </c>
      <c r="E263" s="3" t="s">
        <v>21</v>
      </c>
      <c r="F263" s="3" t="s">
        <v>39</v>
      </c>
      <c r="G263" s="3" t="s">
        <v>40</v>
      </c>
      <c r="I263" s="3" t="s">
        <v>41</v>
      </c>
      <c r="M263" s="3" t="s">
        <v>570</v>
      </c>
      <c r="N263" s="3" t="s">
        <v>43</v>
      </c>
      <c r="O263" s="3" t="s">
        <v>571</v>
      </c>
      <c r="S263" s="3" t="str">
        <f t="shared" si="4"/>
        <v>WITH ZDATA AS
(SELECT NVL(kfc.VALUE,0)-NVL(kfc2.VALUE,0) AS Value, 
'123' AS BusinessObjectKey, 
kfc.CHARACTERISTIC AS Characteristic
FROM ANZ_0741 kfc
JOIN PDP_ANZ_0741 kfc2 ON kfc.BO_KEY = kfc2.BO_KEY AND kfc.CHARACTERISTIC = kfc2.CHARACTERISTIC
) 
SELECT 'VGL_ABS_0741' AS KeyFigureName,
'123456' AS ProcessingRunId, 
'12345' AS WaveId, 
Characteristic, BusinessObjectKey, 
Value AS Value 
FROM ZDATA 
ORDER BY BusinessObjectKey;</v>
      </c>
    </row>
    <row r="264" spans="1:19" x14ac:dyDescent="0.2">
      <c r="A264" s="4">
        <v>741</v>
      </c>
      <c r="B264" s="3">
        <v>2</v>
      </c>
      <c r="C264" s="3" t="s">
        <v>572</v>
      </c>
      <c r="D264" s="3" t="s">
        <v>569</v>
      </c>
      <c r="E264" s="3" t="s">
        <v>21</v>
      </c>
      <c r="F264" s="3" t="s">
        <v>54</v>
      </c>
      <c r="G264" s="3" t="s">
        <v>40</v>
      </c>
      <c r="I264" s="3" t="s">
        <v>41</v>
      </c>
      <c r="M264" s="3" t="s">
        <v>570</v>
      </c>
      <c r="N264" s="3" t="s">
        <v>43</v>
      </c>
      <c r="O264" s="3" t="s">
        <v>571</v>
      </c>
      <c r="P264" s="3" t="s">
        <v>55</v>
      </c>
      <c r="S264" s="3" t="str">
        <f t="shared" si="4"/>
        <v>WITH ZDATA AS
(SELECT TRUNC((NVL(kfc.VALUE,0)-NVL(kfc2.VALUE,0)) / kfc2.VALUE,10) AS Value, 
'123' AS BusinessObjectKey, 
kfc.CHARACTERISTIC AS Characteristic
FROM ANZ_0741 kfc
JOIN PDP_ANZ_0741 kfc2 ON kfc.BO_KEY = kfc2.BO_KEY AND kfc.CHARACTERISTIC = kfc2.CHARACTERISTIC
WHERE kfc2.VALUE &lt;&gt; 0 AND kfc2.VALUE IS NOT NULL
) 
SELECT 'VGL_REL_0741' AS KeyFigureName,
'123456' AS ProcessingRunId, 
'12345' AS WaveId, 
Characteristic, BusinessObjectKey, 
Value AS Value 
FROM ZDATA 
ORDER BY BusinessObjectKey;</v>
      </c>
    </row>
    <row r="265" spans="1:19" x14ac:dyDescent="0.2">
      <c r="A265" s="4">
        <v>743</v>
      </c>
      <c r="B265" s="3">
        <v>1</v>
      </c>
      <c r="C265" s="3" t="s">
        <v>573</v>
      </c>
      <c r="D265" s="3" t="s">
        <v>137</v>
      </c>
      <c r="E265" s="3" t="s">
        <v>21</v>
      </c>
      <c r="F265" s="3" t="s">
        <v>574</v>
      </c>
      <c r="H265" s="3" t="s">
        <v>23</v>
      </c>
      <c r="I265" s="3" t="s">
        <v>21</v>
      </c>
      <c r="J265" s="3" t="s">
        <v>575</v>
      </c>
      <c r="K265" s="3" t="s">
        <v>576</v>
      </c>
      <c r="L265" s="3" t="s">
        <v>26</v>
      </c>
      <c r="M265" s="3" t="s">
        <v>27</v>
      </c>
      <c r="N265" s="3" t="s">
        <v>28</v>
      </c>
      <c r="O265" s="3" t="s">
        <v>141</v>
      </c>
      <c r="P265" s="3" t="s">
        <v>140</v>
      </c>
      <c r="S265" s="3" t="str">
        <f t="shared" si="4"/>
        <v>WITH ZDATA AS
(SELECT drg.CF AS Value, 
'123' AS BusinessObjectKey, 
CASE WHEN drg.CF = '01' THEN 'INLIER'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6" spans="1:19" x14ac:dyDescent="0.2">
      <c r="A266" s="4">
        <v>743</v>
      </c>
      <c r="B266" s="3">
        <v>1</v>
      </c>
      <c r="C266" s="3" t="s">
        <v>573</v>
      </c>
      <c r="D266" s="3" t="s">
        <v>137</v>
      </c>
      <c r="E266" s="3" t="s">
        <v>21</v>
      </c>
      <c r="F266" s="3" t="s">
        <v>574</v>
      </c>
      <c r="H266" s="3" t="s">
        <v>23</v>
      </c>
      <c r="I266" s="3" t="s">
        <v>21</v>
      </c>
      <c r="J266" s="3" t="s">
        <v>577</v>
      </c>
      <c r="K266" s="3" t="s">
        <v>578</v>
      </c>
      <c r="L266" s="3" t="s">
        <v>26</v>
      </c>
      <c r="M266" s="3" t="s">
        <v>27</v>
      </c>
      <c r="N266" s="3" t="s">
        <v>28</v>
      </c>
      <c r="O266" s="3" t="s">
        <v>141</v>
      </c>
      <c r="P266" s="3" t="s">
        <v>140</v>
      </c>
      <c r="S266" s="3" t="str">
        <f t="shared" si="4"/>
        <v>WITH ZDATA AS
(SELECT drg.CF AS Value, 
'123' AS BusinessObjectKey, 
CASE WHEN drg.CF = '02' THEN 'HIGH_OUTLIER'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7" spans="1:19" x14ac:dyDescent="0.2">
      <c r="A267" s="4">
        <v>743</v>
      </c>
      <c r="B267" s="3">
        <v>1</v>
      </c>
      <c r="C267" s="3" t="s">
        <v>573</v>
      </c>
      <c r="D267" s="3" t="s">
        <v>137</v>
      </c>
      <c r="E267" s="3" t="s">
        <v>21</v>
      </c>
      <c r="F267" s="3" t="s">
        <v>574</v>
      </c>
      <c r="H267" s="3" t="s">
        <v>23</v>
      </c>
      <c r="I267" s="3" t="s">
        <v>21</v>
      </c>
      <c r="J267" s="3" t="s">
        <v>579</v>
      </c>
      <c r="K267" s="3" t="s">
        <v>580</v>
      </c>
      <c r="L267" s="3" t="s">
        <v>26</v>
      </c>
      <c r="M267" s="3" t="s">
        <v>27</v>
      </c>
      <c r="N267" s="3" t="s">
        <v>28</v>
      </c>
      <c r="O267" s="3" t="s">
        <v>141</v>
      </c>
      <c r="P267" s="3" t="s">
        <v>140</v>
      </c>
      <c r="S267" s="3" t="str">
        <f t="shared" si="4"/>
        <v>WITH ZDATA AS
(SELECT drg.CF AS Value, 
'123' AS BusinessObjectKey, 
CASE WHEN drg.CF = '03' THEN 'LOW_OUTLIER'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8" spans="1:19" x14ac:dyDescent="0.2">
      <c r="A268" s="4">
        <v>743</v>
      </c>
      <c r="B268" s="3">
        <v>2</v>
      </c>
      <c r="C268" s="3" t="s">
        <v>581</v>
      </c>
      <c r="D268" s="3" t="s">
        <v>582</v>
      </c>
      <c r="E268" s="3" t="s">
        <v>21</v>
      </c>
      <c r="F268" s="3" t="s">
        <v>39</v>
      </c>
      <c r="G268" s="3" t="s">
        <v>40</v>
      </c>
      <c r="I268" s="3" t="s">
        <v>41</v>
      </c>
      <c r="M268" s="3" t="s">
        <v>583</v>
      </c>
      <c r="N268" s="3" t="s">
        <v>43</v>
      </c>
      <c r="O268" s="3" t="s">
        <v>584</v>
      </c>
      <c r="S268" s="3" t="str">
        <f t="shared" si="4"/>
        <v>WITH ZDATA AS
(SELECT NVL(kfc.VALUE,0)-NVL(kfc2.VALUE,0) AS Value, 
'123' AS BusinessObjectKey, 
kfc.CHARACTERISTIC AS Characteristic
FROM ANZ_0743 kfc
JOIN PDP_ANZ_0743 kfc2 ON kfc.BO_KEY = kfc2.BO_KEY AND kfc.CHARACTERISTIC = kfc2.CHARACTERISTIC
) 
SELECT 'VGL_ABS_0743' AS KeyFigureName,
'123456' AS ProcessingRunId, 
'12345' AS WaveId, 
Characteristic, BusinessObjectKey, 
Value AS Value 
FROM ZDATA 
ORDER BY BusinessObjectKey;</v>
      </c>
    </row>
    <row r="269" spans="1:19" x14ac:dyDescent="0.2">
      <c r="A269" s="4">
        <v>743</v>
      </c>
      <c r="B269" s="3">
        <v>2</v>
      </c>
      <c r="C269" s="3" t="s">
        <v>585</v>
      </c>
      <c r="D269" s="3" t="s">
        <v>582</v>
      </c>
      <c r="E269" s="3" t="s">
        <v>21</v>
      </c>
      <c r="F269" s="3" t="s">
        <v>54</v>
      </c>
      <c r="G269" s="3" t="s">
        <v>40</v>
      </c>
      <c r="I269" s="3" t="s">
        <v>41</v>
      </c>
      <c r="M269" s="3" t="s">
        <v>583</v>
      </c>
      <c r="N269" s="3" t="s">
        <v>43</v>
      </c>
      <c r="O269" s="3" t="s">
        <v>584</v>
      </c>
      <c r="P269" s="3" t="s">
        <v>55</v>
      </c>
      <c r="S269" s="3" t="str">
        <f t="shared" si="4"/>
        <v>WITH ZDATA AS
(SELECT TRUNC((NVL(kfc.VALUE,0)-NVL(kfc2.VALUE,0)) / kfc2.VALUE,10) AS Value, 
'123' AS BusinessObjectKey, 
kfc.CHARACTERISTIC AS Characteristic
FROM ANZ_0743 kfc
JOIN PDP_ANZ_0743 kfc2 ON kfc.BO_KEY = kfc2.BO_KEY AND kfc.CHARACTERISTIC = kfc2.CHARACTERISTIC
WHERE kfc2.VALUE &lt;&gt; 0 AND kfc2.VALUE IS NOT NULL
) 
SELECT 'VGL_REL_0743' AS KeyFigureName,
'123456' AS ProcessingRunId, 
'12345' AS WaveId, 
Characteristic, BusinessObjectKey, 
Value AS Value 
FROM ZDATA 
ORDER BY BusinessObjectKey;</v>
      </c>
    </row>
    <row r="270" spans="1:19" x14ac:dyDescent="0.2">
      <c r="A270" s="4">
        <v>747</v>
      </c>
      <c r="B270" s="3">
        <v>1</v>
      </c>
      <c r="C270" s="3" t="s">
        <v>586</v>
      </c>
      <c r="D270" s="3" t="s">
        <v>59</v>
      </c>
      <c r="E270" s="3" t="s">
        <v>21</v>
      </c>
      <c r="F270" s="3" t="s">
        <v>587</v>
      </c>
      <c r="H270" s="3" t="s">
        <v>23</v>
      </c>
      <c r="I270" s="3" t="s">
        <v>21</v>
      </c>
      <c r="J270" s="3" t="s">
        <v>588</v>
      </c>
      <c r="K270" s="3" t="s">
        <v>589</v>
      </c>
      <c r="L270" s="3" t="s">
        <v>26</v>
      </c>
      <c r="M270" s="3" t="s">
        <v>64</v>
      </c>
      <c r="N270" s="3" t="s">
        <v>28</v>
      </c>
      <c r="S270" s="3" t="str">
        <f t="shared" si="4"/>
        <v>WITH ZDATA AS
(SELECT ktf.UV_KTR_TYP AS Value, 
'123' AS BusinessObjectKey, 
CASE WHEN ktf.UV_KTR_TYP=1 THEN 'KTR_TYP_1'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1" spans="1:19" x14ac:dyDescent="0.2">
      <c r="A271" s="4">
        <v>747</v>
      </c>
      <c r="B271" s="3">
        <v>1</v>
      </c>
      <c r="C271" s="3" t="s">
        <v>586</v>
      </c>
      <c r="D271" s="3" t="s">
        <v>59</v>
      </c>
      <c r="E271" s="3" t="s">
        <v>21</v>
      </c>
      <c r="F271" s="3" t="s">
        <v>587</v>
      </c>
      <c r="H271" s="3" t="s">
        <v>23</v>
      </c>
      <c r="I271" s="3" t="s">
        <v>21</v>
      </c>
      <c r="J271" s="3" t="s">
        <v>590</v>
      </c>
      <c r="K271" s="3" t="s">
        <v>591</v>
      </c>
      <c r="L271" s="3" t="s">
        <v>26</v>
      </c>
      <c r="M271" s="3" t="s">
        <v>64</v>
      </c>
      <c r="N271" s="3" t="s">
        <v>28</v>
      </c>
      <c r="S271" s="3" t="str">
        <f t="shared" si="4"/>
        <v>WITH ZDATA AS
(SELECT ktf.UV_KTR_TYP AS Value, 
'123' AS BusinessObjectKey, 
CASE WHEN ktf.UV_KTR_TYP=10 THEN 'KTR_TYP_10'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2" spans="1:19" x14ac:dyDescent="0.2">
      <c r="A272" s="4">
        <v>747</v>
      </c>
      <c r="B272" s="3">
        <v>1</v>
      </c>
      <c r="C272" s="3" t="s">
        <v>586</v>
      </c>
      <c r="D272" s="3" t="s">
        <v>59</v>
      </c>
      <c r="E272" s="3" t="s">
        <v>21</v>
      </c>
      <c r="F272" s="3" t="s">
        <v>587</v>
      </c>
      <c r="H272" s="3" t="s">
        <v>23</v>
      </c>
      <c r="I272" s="3" t="s">
        <v>21</v>
      </c>
      <c r="J272" s="3" t="s">
        <v>592</v>
      </c>
      <c r="K272" s="3" t="s">
        <v>593</v>
      </c>
      <c r="L272" s="3" t="s">
        <v>26</v>
      </c>
      <c r="M272" s="3" t="s">
        <v>64</v>
      </c>
      <c r="N272" s="3" t="s">
        <v>28</v>
      </c>
      <c r="S272" s="3" t="str">
        <f t="shared" si="4"/>
        <v>WITH ZDATA AS
(SELECT ktf.UV_KTR_TYP AS Value, 
'123' AS BusinessObjectKey, 
CASE WHEN ktf.UV_KTR_TYP=101 THEN 'KTR_TYP_101'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3" spans="1:19" x14ac:dyDescent="0.2">
      <c r="A273" s="4">
        <v>747</v>
      </c>
      <c r="B273" s="3">
        <v>1</v>
      </c>
      <c r="C273" s="3" t="s">
        <v>586</v>
      </c>
      <c r="D273" s="3" t="s">
        <v>59</v>
      </c>
      <c r="E273" s="3" t="s">
        <v>21</v>
      </c>
      <c r="F273" s="3" t="s">
        <v>587</v>
      </c>
      <c r="H273" s="3" t="s">
        <v>23</v>
      </c>
      <c r="I273" s="3" t="s">
        <v>21</v>
      </c>
      <c r="J273" s="3" t="s">
        <v>594</v>
      </c>
      <c r="K273" s="3" t="s">
        <v>595</v>
      </c>
      <c r="L273" s="3" t="s">
        <v>26</v>
      </c>
      <c r="M273" s="3" t="s">
        <v>64</v>
      </c>
      <c r="N273" s="3" t="s">
        <v>28</v>
      </c>
      <c r="S273" s="3" t="str">
        <f t="shared" si="4"/>
        <v>WITH ZDATA AS
(SELECT ktf.UV_KTR_TYP AS Value, 
'123' AS BusinessObjectKey, 
CASE WHEN ktf.UV_KTR_TYP=102 THEN 'KTR_TYP_102'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4" spans="1:19" x14ac:dyDescent="0.2">
      <c r="A274" s="4">
        <v>747</v>
      </c>
      <c r="B274" s="3">
        <v>1</v>
      </c>
      <c r="C274" s="3" t="s">
        <v>586</v>
      </c>
      <c r="D274" s="3" t="s">
        <v>59</v>
      </c>
      <c r="E274" s="3" t="s">
        <v>21</v>
      </c>
      <c r="F274" s="3" t="s">
        <v>587</v>
      </c>
      <c r="H274" s="3" t="s">
        <v>23</v>
      </c>
      <c r="I274" s="3" t="s">
        <v>21</v>
      </c>
      <c r="J274" s="3" t="s">
        <v>596</v>
      </c>
      <c r="K274" s="3" t="s">
        <v>597</v>
      </c>
      <c r="L274" s="3" t="s">
        <v>26</v>
      </c>
      <c r="M274" s="3" t="s">
        <v>64</v>
      </c>
      <c r="N274" s="3" t="s">
        <v>28</v>
      </c>
      <c r="S274" s="3" t="str">
        <f t="shared" si="4"/>
        <v>WITH ZDATA AS
(SELECT ktf.UV_KTR_TYP AS Value, 
'123' AS BusinessObjectKey, 
CASE WHEN ktf.UV_KTR_TYP BETWEEN 200 AND 299 THEN 'KTR_TYP_2'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5" spans="1:19" x14ac:dyDescent="0.2">
      <c r="A275" s="4">
        <v>747</v>
      </c>
      <c r="B275" s="3">
        <v>1</v>
      </c>
      <c r="C275" s="3" t="s">
        <v>586</v>
      </c>
      <c r="D275" s="3" t="s">
        <v>59</v>
      </c>
      <c r="E275" s="3" t="s">
        <v>21</v>
      </c>
      <c r="F275" s="3" t="s">
        <v>587</v>
      </c>
      <c r="H275" s="3" t="s">
        <v>23</v>
      </c>
      <c r="I275" s="3" t="s">
        <v>21</v>
      </c>
      <c r="J275" s="3" t="s">
        <v>598</v>
      </c>
      <c r="K275" s="3" t="s">
        <v>599</v>
      </c>
      <c r="L275" s="3" t="s">
        <v>26</v>
      </c>
      <c r="M275" s="3" t="s">
        <v>64</v>
      </c>
      <c r="N275" s="3" t="s">
        <v>28</v>
      </c>
      <c r="S275" s="3" t="str">
        <f t="shared" si="4"/>
        <v>WITH ZDATA AS
(SELECT ktf.UV_KTR_TYP AS Value, 
'123' AS BusinessObjectKey, 
CASE WHEN ktf.UV_KTR_TYP BETWEEN 300 AND 399 THEN 'KTR_TYP_3'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6" spans="1:19" x14ac:dyDescent="0.2">
      <c r="A276" s="4">
        <v>747</v>
      </c>
      <c r="B276" s="3">
        <v>1</v>
      </c>
      <c r="C276" s="3" t="s">
        <v>586</v>
      </c>
      <c r="D276" s="3" t="s">
        <v>59</v>
      </c>
      <c r="E276" s="3" t="s">
        <v>21</v>
      </c>
      <c r="F276" s="3" t="s">
        <v>587</v>
      </c>
      <c r="H276" s="3" t="s">
        <v>23</v>
      </c>
      <c r="I276" s="3" t="s">
        <v>21</v>
      </c>
      <c r="J276" s="3" t="s">
        <v>600</v>
      </c>
      <c r="K276" s="3" t="s">
        <v>601</v>
      </c>
      <c r="L276" s="3" t="s">
        <v>26</v>
      </c>
      <c r="M276" s="3" t="s">
        <v>64</v>
      </c>
      <c r="N276" s="3" t="s">
        <v>28</v>
      </c>
      <c r="S276" s="3" t="str">
        <f t="shared" si="4"/>
        <v>WITH ZDATA AS
(SELECT ktf.UV_KTR_TYP AS Value, 
'123' AS BusinessObjectKey, 
CASE WHEN ktf.UV_KTR_TYP BETWEEN 400 AND 499 THEN 'KTR_TYP_4'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7" spans="1:19" x14ac:dyDescent="0.2">
      <c r="A277" s="4">
        <v>747</v>
      </c>
      <c r="B277" s="3">
        <v>1</v>
      </c>
      <c r="C277" s="3" t="s">
        <v>586</v>
      </c>
      <c r="D277" s="3" t="s">
        <v>59</v>
      </c>
      <c r="E277" s="3" t="s">
        <v>21</v>
      </c>
      <c r="F277" s="3" t="s">
        <v>587</v>
      </c>
      <c r="H277" s="3" t="s">
        <v>23</v>
      </c>
      <c r="I277" s="3" t="s">
        <v>21</v>
      </c>
      <c r="J277" s="3" t="s">
        <v>602</v>
      </c>
      <c r="K277" s="3" t="s">
        <v>603</v>
      </c>
      <c r="L277" s="3" t="s">
        <v>26</v>
      </c>
      <c r="M277" s="3" t="s">
        <v>64</v>
      </c>
      <c r="N277" s="3" t="s">
        <v>28</v>
      </c>
      <c r="S277" s="3" t="str">
        <f t="shared" si="4"/>
        <v>WITH ZDATA AS
(SELECT ktf.UV_KTR_TYP AS Value, 
'123' AS BusinessObjectKey, 
CASE WHEN ktf.UV_KTR_TYP BETWEEN 500 AND 599 THEN 'KTR_TYP_5'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8" spans="1:19" x14ac:dyDescent="0.2">
      <c r="A278" s="4">
        <v>747</v>
      </c>
      <c r="B278" s="3">
        <v>1</v>
      </c>
      <c r="C278" s="3" t="s">
        <v>586</v>
      </c>
      <c r="D278" s="3" t="s">
        <v>59</v>
      </c>
      <c r="E278" s="3" t="s">
        <v>21</v>
      </c>
      <c r="F278" s="3" t="s">
        <v>587</v>
      </c>
      <c r="H278" s="3" t="s">
        <v>23</v>
      </c>
      <c r="I278" s="3" t="s">
        <v>21</v>
      </c>
      <c r="J278" s="3" t="s">
        <v>604</v>
      </c>
      <c r="K278" s="3" t="s">
        <v>605</v>
      </c>
      <c r="L278" s="3" t="s">
        <v>26</v>
      </c>
      <c r="M278" s="3" t="s">
        <v>64</v>
      </c>
      <c r="N278" s="3" t="s">
        <v>28</v>
      </c>
      <c r="S278" s="3" t="str">
        <f t="shared" si="4"/>
        <v>WITH ZDATA AS
(SELECT ktf.UV_KTR_TYP AS Value, 
'123' AS BusinessObjectKey, 
CASE WHEN ktf.UV_KTR_TYP BETWEEN 600 AND 699 THEN 'KTR_TYP_6'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9" spans="1:19" x14ac:dyDescent="0.2">
      <c r="A279" s="4">
        <v>747</v>
      </c>
      <c r="B279" s="3">
        <v>1</v>
      </c>
      <c r="C279" s="3" t="s">
        <v>586</v>
      </c>
      <c r="D279" s="3" t="s">
        <v>59</v>
      </c>
      <c r="E279" s="3" t="s">
        <v>21</v>
      </c>
      <c r="F279" s="3" t="s">
        <v>587</v>
      </c>
      <c r="H279" s="3" t="s">
        <v>23</v>
      </c>
      <c r="I279" s="3" t="s">
        <v>21</v>
      </c>
      <c r="J279" s="3" t="s">
        <v>606</v>
      </c>
      <c r="K279" s="3" t="s">
        <v>607</v>
      </c>
      <c r="L279" s="3" t="s">
        <v>26</v>
      </c>
      <c r="M279" s="3" t="s">
        <v>64</v>
      </c>
      <c r="N279" s="3" t="s">
        <v>28</v>
      </c>
      <c r="S279" s="3" t="str">
        <f t="shared" si="4"/>
        <v>WITH ZDATA AS
(SELECT ktf.UV_KTR_TYP AS Value, 
'123' AS BusinessObjectKey, 
CASE WHEN ktf.UV_KTR_TYP BETWEEN 700 AND 799 THEN 'KTR_TYP_7'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80" spans="1:19" x14ac:dyDescent="0.2">
      <c r="A280" s="4">
        <v>747</v>
      </c>
      <c r="B280" s="3">
        <v>1</v>
      </c>
      <c r="C280" s="3" t="s">
        <v>586</v>
      </c>
      <c r="D280" s="3" t="s">
        <v>59</v>
      </c>
      <c r="E280" s="3" t="s">
        <v>21</v>
      </c>
      <c r="F280" s="3" t="s">
        <v>587</v>
      </c>
      <c r="H280" s="3" t="s">
        <v>23</v>
      </c>
      <c r="I280" s="3" t="s">
        <v>21</v>
      </c>
      <c r="J280" s="3" t="s">
        <v>608</v>
      </c>
      <c r="K280" s="3" t="s">
        <v>609</v>
      </c>
      <c r="L280" s="3" t="s">
        <v>26</v>
      </c>
      <c r="M280" s="3" t="s">
        <v>64</v>
      </c>
      <c r="N280" s="3" t="s">
        <v>28</v>
      </c>
      <c r="S280" s="3" t="str">
        <f t="shared" si="4"/>
        <v>WITH ZDATA AS
(SELECT ktf.UV_KTR_TYP AS Value, 
'123' AS BusinessObjectKey, 
CASE WHEN ktf.UV_KTR_TYP=801 THEN 'KTR_TYP_8'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81" spans="1:19" x14ac:dyDescent="0.2">
      <c r="A281" s="4">
        <v>747</v>
      </c>
      <c r="B281" s="3">
        <v>1</v>
      </c>
      <c r="C281" s="3" t="s">
        <v>610</v>
      </c>
      <c r="D281" s="3" t="s">
        <v>66</v>
      </c>
      <c r="E281" s="3" t="s">
        <v>41</v>
      </c>
      <c r="F281" s="3" t="s">
        <v>611</v>
      </c>
      <c r="H281" s="3" t="s">
        <v>23</v>
      </c>
      <c r="I281" s="3" t="s">
        <v>21</v>
      </c>
      <c r="J281" s="3" t="s">
        <v>588</v>
      </c>
      <c r="K281" s="3" t="s">
        <v>612</v>
      </c>
      <c r="L281" s="3" t="s">
        <v>26</v>
      </c>
      <c r="M281" s="3" t="s">
        <v>68</v>
      </c>
      <c r="N281" s="3" t="s">
        <v>28</v>
      </c>
      <c r="S281" s="3" t="str">
        <f t="shared" si="4"/>
        <v>WITH ZDATA AS
(SELECT kts.UV_KTR_TYP AS Value, 
'123' AS BusinessObjectKey, 
CASE WHEN kts.UV_KTR_TYP=1 THEN 'KTR_TYP_1'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2" spans="1:19" x14ac:dyDescent="0.2">
      <c r="A282" s="4">
        <v>747</v>
      </c>
      <c r="B282" s="3">
        <v>1</v>
      </c>
      <c r="C282" s="3" t="s">
        <v>610</v>
      </c>
      <c r="D282" s="3" t="s">
        <v>66</v>
      </c>
      <c r="E282" s="3" t="s">
        <v>41</v>
      </c>
      <c r="F282" s="3" t="s">
        <v>611</v>
      </c>
      <c r="H282" s="3" t="s">
        <v>23</v>
      </c>
      <c r="I282" s="3" t="s">
        <v>21</v>
      </c>
      <c r="J282" s="3" t="s">
        <v>590</v>
      </c>
      <c r="K282" s="3" t="s">
        <v>613</v>
      </c>
      <c r="L282" s="3" t="s">
        <v>26</v>
      </c>
      <c r="M282" s="3" t="s">
        <v>68</v>
      </c>
      <c r="N282" s="3" t="s">
        <v>28</v>
      </c>
      <c r="S282" s="3" t="str">
        <f t="shared" si="4"/>
        <v>WITH ZDATA AS
(SELECT kts.UV_KTR_TYP AS Value, 
'123' AS BusinessObjectKey, 
CASE WHEN kts.UV_KTR_TYP=10 THEN 'KTR_TYP_10'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3" spans="1:19" x14ac:dyDescent="0.2">
      <c r="A283" s="4">
        <v>747</v>
      </c>
      <c r="B283" s="3">
        <v>1</v>
      </c>
      <c r="C283" s="3" t="s">
        <v>610</v>
      </c>
      <c r="D283" s="3" t="s">
        <v>66</v>
      </c>
      <c r="E283" s="3" t="s">
        <v>41</v>
      </c>
      <c r="F283" s="3" t="s">
        <v>611</v>
      </c>
      <c r="H283" s="3" t="s">
        <v>23</v>
      </c>
      <c r="I283" s="3" t="s">
        <v>21</v>
      </c>
      <c r="J283" s="3" t="s">
        <v>592</v>
      </c>
      <c r="K283" s="3" t="s">
        <v>614</v>
      </c>
      <c r="L283" s="3" t="s">
        <v>26</v>
      </c>
      <c r="M283" s="3" t="s">
        <v>68</v>
      </c>
      <c r="N283" s="3" t="s">
        <v>28</v>
      </c>
      <c r="S283" s="3" t="str">
        <f t="shared" si="4"/>
        <v>WITH ZDATA AS
(SELECT kts.UV_KTR_TYP AS Value, 
'123' AS BusinessObjectKey, 
CASE WHEN kts.UV_KTR_TYP=101 THEN 'KTR_TYP_101'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4" spans="1:19" x14ac:dyDescent="0.2">
      <c r="A284" s="4">
        <v>747</v>
      </c>
      <c r="B284" s="3">
        <v>1</v>
      </c>
      <c r="C284" s="3" t="s">
        <v>610</v>
      </c>
      <c r="D284" s="3" t="s">
        <v>66</v>
      </c>
      <c r="E284" s="3" t="s">
        <v>41</v>
      </c>
      <c r="F284" s="3" t="s">
        <v>611</v>
      </c>
      <c r="H284" s="3" t="s">
        <v>23</v>
      </c>
      <c r="I284" s="3" t="s">
        <v>21</v>
      </c>
      <c r="J284" s="3" t="s">
        <v>594</v>
      </c>
      <c r="K284" s="3" t="s">
        <v>615</v>
      </c>
      <c r="L284" s="3" t="s">
        <v>26</v>
      </c>
      <c r="M284" s="3" t="s">
        <v>68</v>
      </c>
      <c r="N284" s="3" t="s">
        <v>28</v>
      </c>
      <c r="S284" s="3" t="str">
        <f t="shared" si="4"/>
        <v>WITH ZDATA AS
(SELECT kts.UV_KTR_TYP AS Value, 
'123' AS BusinessObjectKey, 
CASE WHEN kts.UV_KTR_TYP=102 THEN 'KTR_TYP_102'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5" spans="1:19" x14ac:dyDescent="0.2">
      <c r="A285" s="4">
        <v>747</v>
      </c>
      <c r="B285" s="3">
        <v>1</v>
      </c>
      <c r="C285" s="3" t="s">
        <v>610</v>
      </c>
      <c r="D285" s="3" t="s">
        <v>66</v>
      </c>
      <c r="E285" s="3" t="s">
        <v>41</v>
      </c>
      <c r="F285" s="3" t="s">
        <v>611</v>
      </c>
      <c r="H285" s="3" t="s">
        <v>23</v>
      </c>
      <c r="I285" s="3" t="s">
        <v>21</v>
      </c>
      <c r="J285" s="3" t="s">
        <v>596</v>
      </c>
      <c r="K285" s="3" t="s">
        <v>616</v>
      </c>
      <c r="L285" s="3" t="s">
        <v>26</v>
      </c>
      <c r="M285" s="3" t="s">
        <v>68</v>
      </c>
      <c r="N285" s="3" t="s">
        <v>28</v>
      </c>
      <c r="S285" s="3" t="str">
        <f t="shared" si="4"/>
        <v>WITH ZDATA AS
(SELECT kts.UV_KTR_TYP AS Value, 
'123' AS BusinessObjectKey, 
CASE WHEN kts.UV_KTR_TYP BETWEEN 200 AND 299 THEN 'KTR_TYP_2'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6" spans="1:19" x14ac:dyDescent="0.2">
      <c r="A286" s="4">
        <v>747</v>
      </c>
      <c r="B286" s="3">
        <v>1</v>
      </c>
      <c r="C286" s="3" t="s">
        <v>610</v>
      </c>
      <c r="D286" s="3" t="s">
        <v>66</v>
      </c>
      <c r="E286" s="3" t="s">
        <v>41</v>
      </c>
      <c r="F286" s="3" t="s">
        <v>611</v>
      </c>
      <c r="H286" s="3" t="s">
        <v>23</v>
      </c>
      <c r="I286" s="3" t="s">
        <v>21</v>
      </c>
      <c r="J286" s="3" t="s">
        <v>598</v>
      </c>
      <c r="K286" s="3" t="s">
        <v>617</v>
      </c>
      <c r="L286" s="3" t="s">
        <v>26</v>
      </c>
      <c r="M286" s="3" t="s">
        <v>68</v>
      </c>
      <c r="N286" s="3" t="s">
        <v>28</v>
      </c>
      <c r="S286" s="3" t="str">
        <f t="shared" si="4"/>
        <v>WITH ZDATA AS
(SELECT kts.UV_KTR_TYP AS Value, 
'123' AS BusinessObjectKey, 
CASE WHEN kts.UV_KTR_TYP BETWEEN 300 AND 399 THEN 'KTR_TYP_3'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7" spans="1:19" x14ac:dyDescent="0.2">
      <c r="A287" s="4">
        <v>747</v>
      </c>
      <c r="B287" s="3">
        <v>1</v>
      </c>
      <c r="C287" s="3" t="s">
        <v>610</v>
      </c>
      <c r="D287" s="3" t="s">
        <v>66</v>
      </c>
      <c r="E287" s="3" t="s">
        <v>41</v>
      </c>
      <c r="F287" s="3" t="s">
        <v>611</v>
      </c>
      <c r="H287" s="3" t="s">
        <v>23</v>
      </c>
      <c r="I287" s="3" t="s">
        <v>21</v>
      </c>
      <c r="J287" s="3" t="s">
        <v>600</v>
      </c>
      <c r="K287" s="3" t="s">
        <v>618</v>
      </c>
      <c r="L287" s="3" t="s">
        <v>26</v>
      </c>
      <c r="M287" s="3" t="s">
        <v>68</v>
      </c>
      <c r="N287" s="3" t="s">
        <v>28</v>
      </c>
      <c r="S287" s="3" t="str">
        <f t="shared" si="4"/>
        <v>WITH ZDATA AS
(SELECT kts.UV_KTR_TYP AS Value, 
'123' AS BusinessObjectKey, 
CASE WHEN kts.UV_KTR_TYP BETWEEN 400 AND 499 THEN 'KTR_TYP_4'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8" spans="1:19" x14ac:dyDescent="0.2">
      <c r="A288" s="4">
        <v>747</v>
      </c>
      <c r="B288" s="3">
        <v>1</v>
      </c>
      <c r="C288" s="3" t="s">
        <v>610</v>
      </c>
      <c r="D288" s="3" t="s">
        <v>66</v>
      </c>
      <c r="E288" s="3" t="s">
        <v>41</v>
      </c>
      <c r="F288" s="3" t="s">
        <v>611</v>
      </c>
      <c r="H288" s="3" t="s">
        <v>23</v>
      </c>
      <c r="I288" s="3" t="s">
        <v>21</v>
      </c>
      <c r="J288" s="3" t="s">
        <v>602</v>
      </c>
      <c r="K288" s="3" t="s">
        <v>619</v>
      </c>
      <c r="L288" s="3" t="s">
        <v>26</v>
      </c>
      <c r="M288" s="3" t="s">
        <v>68</v>
      </c>
      <c r="N288" s="3" t="s">
        <v>28</v>
      </c>
      <c r="S288" s="3" t="str">
        <f t="shared" si="4"/>
        <v>WITH ZDATA AS
(SELECT kts.UV_KTR_TYP AS Value, 
'123' AS BusinessObjectKey, 
CASE WHEN kts.UV_KTR_TYP BETWEEN 500 AND 599 THEN 'KTR_TYP_5'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9" spans="1:19" x14ac:dyDescent="0.2">
      <c r="A289" s="4">
        <v>747</v>
      </c>
      <c r="B289" s="3">
        <v>1</v>
      </c>
      <c r="C289" s="3" t="s">
        <v>610</v>
      </c>
      <c r="D289" s="3" t="s">
        <v>66</v>
      </c>
      <c r="E289" s="3" t="s">
        <v>41</v>
      </c>
      <c r="F289" s="3" t="s">
        <v>611</v>
      </c>
      <c r="H289" s="3" t="s">
        <v>23</v>
      </c>
      <c r="I289" s="3" t="s">
        <v>21</v>
      </c>
      <c r="J289" s="3" t="s">
        <v>604</v>
      </c>
      <c r="K289" s="3" t="s">
        <v>620</v>
      </c>
      <c r="L289" s="3" t="s">
        <v>26</v>
      </c>
      <c r="M289" s="3" t="s">
        <v>68</v>
      </c>
      <c r="N289" s="3" t="s">
        <v>28</v>
      </c>
      <c r="S289" s="3" t="str">
        <f t="shared" si="4"/>
        <v>WITH ZDATA AS
(SELECT kts.UV_KTR_TYP AS Value, 
'123' AS BusinessObjectKey, 
CASE WHEN kts.UV_KTR_TYP BETWEEN 600 AND 699 THEN 'KTR_TYP_6'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0" spans="1:19" x14ac:dyDescent="0.2">
      <c r="A290" s="4">
        <v>747</v>
      </c>
      <c r="B290" s="3">
        <v>1</v>
      </c>
      <c r="C290" s="3" t="s">
        <v>610</v>
      </c>
      <c r="D290" s="3" t="s">
        <v>66</v>
      </c>
      <c r="E290" s="3" t="s">
        <v>41</v>
      </c>
      <c r="F290" s="3" t="s">
        <v>611</v>
      </c>
      <c r="H290" s="3" t="s">
        <v>23</v>
      </c>
      <c r="I290" s="3" t="s">
        <v>21</v>
      </c>
      <c r="J290" s="3" t="s">
        <v>606</v>
      </c>
      <c r="K290" s="3" t="s">
        <v>621</v>
      </c>
      <c r="L290" s="3" t="s">
        <v>26</v>
      </c>
      <c r="M290" s="3" t="s">
        <v>68</v>
      </c>
      <c r="N290" s="3" t="s">
        <v>28</v>
      </c>
      <c r="S290" s="3" t="str">
        <f t="shared" si="4"/>
        <v>WITH ZDATA AS
(SELECT kts.UV_KTR_TYP AS Value, 
'123' AS BusinessObjectKey, 
CASE WHEN kts.UV_KTR_TYP BETWEEN 700 AND 799 THEN 'KTR_TYP_7'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1" spans="1:19" x14ac:dyDescent="0.2">
      <c r="A291" s="4">
        <v>747</v>
      </c>
      <c r="B291" s="3">
        <v>1</v>
      </c>
      <c r="C291" s="3" t="s">
        <v>610</v>
      </c>
      <c r="D291" s="3" t="s">
        <v>66</v>
      </c>
      <c r="E291" s="3" t="s">
        <v>41</v>
      </c>
      <c r="F291" s="3" t="s">
        <v>611</v>
      </c>
      <c r="H291" s="3" t="s">
        <v>23</v>
      </c>
      <c r="I291" s="3" t="s">
        <v>21</v>
      </c>
      <c r="J291" s="3" t="s">
        <v>608</v>
      </c>
      <c r="K291" s="3" t="s">
        <v>622</v>
      </c>
      <c r="L291" s="3" t="s">
        <v>26</v>
      </c>
      <c r="M291" s="3" t="s">
        <v>68</v>
      </c>
      <c r="N291" s="3" t="s">
        <v>28</v>
      </c>
      <c r="S291" s="3" t="str">
        <f t="shared" si="4"/>
        <v>WITH ZDATA AS
(SELECT kts.UV_KTR_TYP AS Value, 
'123' AS BusinessObjectKey, 
CASE WHEN kts.UV_KTR_TYP=801 THEN 'KTR_TYP_8'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2" spans="1:19" x14ac:dyDescent="0.2">
      <c r="A292" s="4">
        <v>747</v>
      </c>
      <c r="B292" s="3">
        <v>1</v>
      </c>
      <c r="C292" s="3" t="s">
        <v>623</v>
      </c>
      <c r="D292" s="3" t="s">
        <v>70</v>
      </c>
      <c r="E292" s="3" t="s">
        <v>41</v>
      </c>
      <c r="F292" s="3" t="s">
        <v>624</v>
      </c>
      <c r="H292" s="3" t="s">
        <v>23</v>
      </c>
      <c r="I292" s="3" t="s">
        <v>21</v>
      </c>
      <c r="J292" s="3" t="s">
        <v>588</v>
      </c>
      <c r="K292" s="3" t="s">
        <v>625</v>
      </c>
      <c r="L292" s="3" t="s">
        <v>26</v>
      </c>
      <c r="M292" s="3" t="s">
        <v>72</v>
      </c>
      <c r="N292" s="3" t="s">
        <v>28</v>
      </c>
      <c r="S292" s="3" t="str">
        <f t="shared" si="4"/>
        <v>WITH ZDATA AS
(SELECT ktu.UV_KTR_TYP AS Value, 
'123' AS BusinessObjectKey, 
CASE WHEN ktu.UV_KTR_TYP=1 THEN 'KTR_TYP_1'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3" spans="1:19" x14ac:dyDescent="0.2">
      <c r="A293" s="4">
        <v>747</v>
      </c>
      <c r="B293" s="3">
        <v>1</v>
      </c>
      <c r="C293" s="3" t="s">
        <v>623</v>
      </c>
      <c r="D293" s="3" t="s">
        <v>70</v>
      </c>
      <c r="E293" s="3" t="s">
        <v>41</v>
      </c>
      <c r="F293" s="3" t="s">
        <v>624</v>
      </c>
      <c r="H293" s="3" t="s">
        <v>23</v>
      </c>
      <c r="I293" s="3" t="s">
        <v>21</v>
      </c>
      <c r="J293" s="3" t="s">
        <v>590</v>
      </c>
      <c r="K293" s="3" t="s">
        <v>626</v>
      </c>
      <c r="L293" s="3" t="s">
        <v>26</v>
      </c>
      <c r="M293" s="3" t="s">
        <v>72</v>
      </c>
      <c r="N293" s="3" t="s">
        <v>28</v>
      </c>
      <c r="S293" s="3" t="str">
        <f t="shared" si="4"/>
        <v>WITH ZDATA AS
(SELECT ktu.UV_KTR_TYP AS Value, 
'123' AS BusinessObjectKey, 
CASE WHEN ktu.UV_KTR_TYP=10 THEN 'KTR_TYP_10'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4" spans="1:19" x14ac:dyDescent="0.2">
      <c r="A294" s="4">
        <v>747</v>
      </c>
      <c r="B294" s="3">
        <v>1</v>
      </c>
      <c r="C294" s="3" t="s">
        <v>623</v>
      </c>
      <c r="D294" s="3" t="s">
        <v>70</v>
      </c>
      <c r="E294" s="3" t="s">
        <v>41</v>
      </c>
      <c r="F294" s="3" t="s">
        <v>624</v>
      </c>
      <c r="H294" s="3" t="s">
        <v>23</v>
      </c>
      <c r="I294" s="3" t="s">
        <v>21</v>
      </c>
      <c r="J294" s="3" t="s">
        <v>592</v>
      </c>
      <c r="K294" s="3" t="s">
        <v>627</v>
      </c>
      <c r="L294" s="3" t="s">
        <v>26</v>
      </c>
      <c r="M294" s="3" t="s">
        <v>72</v>
      </c>
      <c r="N294" s="3" t="s">
        <v>28</v>
      </c>
      <c r="S294" s="3" t="str">
        <f t="shared" si="4"/>
        <v>WITH ZDATA AS
(SELECT ktu.UV_KTR_TYP AS Value, 
'123' AS BusinessObjectKey, 
CASE WHEN ktu.UV_KTR_TYP=101 THEN 'KTR_TYP_101'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5" spans="1:19" x14ac:dyDescent="0.2">
      <c r="A295" s="4">
        <v>747</v>
      </c>
      <c r="B295" s="3">
        <v>1</v>
      </c>
      <c r="C295" s="3" t="s">
        <v>623</v>
      </c>
      <c r="D295" s="3" t="s">
        <v>70</v>
      </c>
      <c r="E295" s="3" t="s">
        <v>41</v>
      </c>
      <c r="F295" s="3" t="s">
        <v>624</v>
      </c>
      <c r="H295" s="3" t="s">
        <v>23</v>
      </c>
      <c r="I295" s="3" t="s">
        <v>21</v>
      </c>
      <c r="J295" s="3" t="s">
        <v>594</v>
      </c>
      <c r="K295" s="3" t="s">
        <v>628</v>
      </c>
      <c r="L295" s="3" t="s">
        <v>26</v>
      </c>
      <c r="M295" s="3" t="s">
        <v>72</v>
      </c>
      <c r="N295" s="3" t="s">
        <v>28</v>
      </c>
      <c r="S295" s="3" t="str">
        <f t="shared" si="4"/>
        <v>WITH ZDATA AS
(SELECT ktu.UV_KTR_TYP AS Value, 
'123' AS BusinessObjectKey, 
CASE WHEN ktu.UV_KTR_TYP=102 THEN 'KTR_TYP_102'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6" spans="1:19" x14ac:dyDescent="0.2">
      <c r="A296" s="4">
        <v>747</v>
      </c>
      <c r="B296" s="3">
        <v>1</v>
      </c>
      <c r="C296" s="3" t="s">
        <v>623</v>
      </c>
      <c r="D296" s="3" t="s">
        <v>70</v>
      </c>
      <c r="E296" s="3" t="s">
        <v>41</v>
      </c>
      <c r="F296" s="3" t="s">
        <v>624</v>
      </c>
      <c r="H296" s="3" t="s">
        <v>23</v>
      </c>
      <c r="I296" s="3" t="s">
        <v>21</v>
      </c>
      <c r="J296" s="3" t="s">
        <v>596</v>
      </c>
      <c r="K296" s="3" t="s">
        <v>629</v>
      </c>
      <c r="L296" s="3" t="s">
        <v>26</v>
      </c>
      <c r="M296" s="3" t="s">
        <v>72</v>
      </c>
      <c r="N296" s="3" t="s">
        <v>28</v>
      </c>
      <c r="S296" s="3" t="str">
        <f t="shared" si="4"/>
        <v>WITH ZDATA AS
(SELECT ktu.UV_KTR_TYP AS Value, 
'123' AS BusinessObjectKey, 
CASE WHEN ktu.UV_KTR_TYP BETWEEN 200 AND 299 THEN 'KTR_TYP_2'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7" spans="1:19" x14ac:dyDescent="0.2">
      <c r="A297" s="4">
        <v>747</v>
      </c>
      <c r="B297" s="3">
        <v>1</v>
      </c>
      <c r="C297" s="3" t="s">
        <v>623</v>
      </c>
      <c r="D297" s="3" t="s">
        <v>70</v>
      </c>
      <c r="E297" s="3" t="s">
        <v>41</v>
      </c>
      <c r="F297" s="3" t="s">
        <v>624</v>
      </c>
      <c r="H297" s="3" t="s">
        <v>23</v>
      </c>
      <c r="I297" s="3" t="s">
        <v>21</v>
      </c>
      <c r="J297" s="3" t="s">
        <v>598</v>
      </c>
      <c r="K297" s="3" t="s">
        <v>630</v>
      </c>
      <c r="L297" s="3" t="s">
        <v>26</v>
      </c>
      <c r="M297" s="3" t="s">
        <v>72</v>
      </c>
      <c r="N297" s="3" t="s">
        <v>28</v>
      </c>
      <c r="S297" s="3" t="str">
        <f t="shared" si="4"/>
        <v>WITH ZDATA AS
(SELECT ktu.UV_KTR_TYP AS Value, 
'123' AS BusinessObjectKey, 
CASE WHEN ktu.UV_KTR_TYP BETWEEN 300 AND 399 THEN 'KTR_TYP_3'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8" spans="1:19" x14ac:dyDescent="0.2">
      <c r="A298" s="4">
        <v>747</v>
      </c>
      <c r="B298" s="3">
        <v>1</v>
      </c>
      <c r="C298" s="3" t="s">
        <v>623</v>
      </c>
      <c r="D298" s="3" t="s">
        <v>70</v>
      </c>
      <c r="E298" s="3" t="s">
        <v>41</v>
      </c>
      <c r="F298" s="3" t="s">
        <v>624</v>
      </c>
      <c r="H298" s="3" t="s">
        <v>23</v>
      </c>
      <c r="I298" s="3" t="s">
        <v>21</v>
      </c>
      <c r="J298" s="3" t="s">
        <v>600</v>
      </c>
      <c r="K298" s="3" t="s">
        <v>631</v>
      </c>
      <c r="L298" s="3" t="s">
        <v>26</v>
      </c>
      <c r="M298" s="3" t="s">
        <v>72</v>
      </c>
      <c r="N298" s="3" t="s">
        <v>28</v>
      </c>
      <c r="S298" s="3" t="str">
        <f t="shared" si="4"/>
        <v>WITH ZDATA AS
(SELECT ktu.UV_KTR_TYP AS Value, 
'123' AS BusinessObjectKey, 
CASE WHEN ktu.UV_KTR_TYP BETWEEN 400 AND 499 THEN 'KTR_TYP_4'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9" spans="1:19" x14ac:dyDescent="0.2">
      <c r="A299" s="4">
        <v>747</v>
      </c>
      <c r="B299" s="3">
        <v>1</v>
      </c>
      <c r="C299" s="3" t="s">
        <v>623</v>
      </c>
      <c r="D299" s="3" t="s">
        <v>70</v>
      </c>
      <c r="E299" s="3" t="s">
        <v>41</v>
      </c>
      <c r="F299" s="3" t="s">
        <v>624</v>
      </c>
      <c r="H299" s="3" t="s">
        <v>23</v>
      </c>
      <c r="I299" s="3" t="s">
        <v>21</v>
      </c>
      <c r="J299" s="3" t="s">
        <v>602</v>
      </c>
      <c r="K299" s="3" t="s">
        <v>632</v>
      </c>
      <c r="L299" s="3" t="s">
        <v>26</v>
      </c>
      <c r="M299" s="3" t="s">
        <v>72</v>
      </c>
      <c r="N299" s="3" t="s">
        <v>28</v>
      </c>
      <c r="S299" s="3" t="str">
        <f t="shared" si="4"/>
        <v>WITH ZDATA AS
(SELECT ktu.UV_KTR_TYP AS Value, 
'123' AS BusinessObjectKey, 
CASE WHEN ktu.UV_KTR_TYP BETWEEN 500 AND 599 THEN 'KTR_TYP_5'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0" spans="1:19" x14ac:dyDescent="0.2">
      <c r="A300" s="4">
        <v>747</v>
      </c>
      <c r="B300" s="3">
        <v>1</v>
      </c>
      <c r="C300" s="3" t="s">
        <v>623</v>
      </c>
      <c r="D300" s="3" t="s">
        <v>70</v>
      </c>
      <c r="E300" s="3" t="s">
        <v>41</v>
      </c>
      <c r="F300" s="3" t="s">
        <v>624</v>
      </c>
      <c r="H300" s="3" t="s">
        <v>23</v>
      </c>
      <c r="I300" s="3" t="s">
        <v>21</v>
      </c>
      <c r="J300" s="3" t="s">
        <v>604</v>
      </c>
      <c r="K300" s="3" t="s">
        <v>633</v>
      </c>
      <c r="L300" s="3" t="s">
        <v>26</v>
      </c>
      <c r="M300" s="3" t="s">
        <v>72</v>
      </c>
      <c r="N300" s="3" t="s">
        <v>28</v>
      </c>
      <c r="S300" s="3" t="str">
        <f t="shared" si="4"/>
        <v>WITH ZDATA AS
(SELECT ktu.UV_KTR_TYP AS Value, 
'123' AS BusinessObjectKey, 
CASE WHEN ktu.UV_KTR_TYP BETWEEN 600 AND 699 THEN 'KTR_TYP_6'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1" spans="1:19" x14ac:dyDescent="0.2">
      <c r="A301" s="4">
        <v>747</v>
      </c>
      <c r="B301" s="3">
        <v>1</v>
      </c>
      <c r="C301" s="3" t="s">
        <v>623</v>
      </c>
      <c r="D301" s="3" t="s">
        <v>70</v>
      </c>
      <c r="E301" s="3" t="s">
        <v>41</v>
      </c>
      <c r="F301" s="3" t="s">
        <v>624</v>
      </c>
      <c r="H301" s="3" t="s">
        <v>23</v>
      </c>
      <c r="I301" s="3" t="s">
        <v>21</v>
      </c>
      <c r="J301" s="3" t="s">
        <v>606</v>
      </c>
      <c r="K301" s="3" t="s">
        <v>634</v>
      </c>
      <c r="L301" s="3" t="s">
        <v>26</v>
      </c>
      <c r="M301" s="3" t="s">
        <v>72</v>
      </c>
      <c r="N301" s="3" t="s">
        <v>28</v>
      </c>
      <c r="S301" s="3" t="str">
        <f t="shared" si="4"/>
        <v>WITH ZDATA AS
(SELECT ktu.UV_KTR_TYP AS Value, 
'123' AS BusinessObjectKey, 
CASE WHEN ktu.UV_KTR_TYP BETWEEN 700 AND 799 THEN 'KTR_TYP_7'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2" spans="1:19" x14ac:dyDescent="0.2">
      <c r="A302" s="4">
        <v>747</v>
      </c>
      <c r="B302" s="3">
        <v>1</v>
      </c>
      <c r="C302" s="3" t="s">
        <v>623</v>
      </c>
      <c r="D302" s="3" t="s">
        <v>70</v>
      </c>
      <c r="E302" s="3" t="s">
        <v>41</v>
      </c>
      <c r="F302" s="3" t="s">
        <v>624</v>
      </c>
      <c r="H302" s="3" t="s">
        <v>23</v>
      </c>
      <c r="I302" s="3" t="s">
        <v>21</v>
      </c>
      <c r="J302" s="3" t="s">
        <v>608</v>
      </c>
      <c r="K302" s="3" t="s">
        <v>635</v>
      </c>
      <c r="L302" s="3" t="s">
        <v>26</v>
      </c>
      <c r="M302" s="3" t="s">
        <v>72</v>
      </c>
      <c r="N302" s="3" t="s">
        <v>28</v>
      </c>
      <c r="S302" s="3" t="str">
        <f t="shared" si="4"/>
        <v>WITH ZDATA AS
(SELECT ktu.UV_KTR_TYP AS Value, 
'123' AS BusinessObjectKey, 
CASE WHEN ktu.UV_KTR_TYP=801 THEN 'KTR_TYP_8'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3" spans="1:19" x14ac:dyDescent="0.2">
      <c r="A303" s="4">
        <v>747</v>
      </c>
      <c r="B303" s="3">
        <v>2</v>
      </c>
      <c r="C303" s="3" t="s">
        <v>636</v>
      </c>
      <c r="D303" s="3" t="s">
        <v>637</v>
      </c>
      <c r="E303" s="3" t="s">
        <v>21</v>
      </c>
      <c r="F303" s="3" t="s">
        <v>81</v>
      </c>
      <c r="G303" s="3" t="s">
        <v>40</v>
      </c>
      <c r="I303" s="3" t="s">
        <v>41</v>
      </c>
      <c r="M303" s="3" t="s">
        <v>638</v>
      </c>
      <c r="N303" s="3" t="s">
        <v>43</v>
      </c>
      <c r="O303" s="3" t="s">
        <v>639</v>
      </c>
      <c r="S303" s="3" t="str">
        <f t="shared" si="4"/>
        <v>WITH ZDATA AS
(SELECT NVL(kfc.VALUE,0)+NVL(kfc2.VALUE,0)+NVL(kfc3.VALUE,0) AS Value, 
'123' AS BusinessObjectKey, 
kfc.CHARACTERISTIC AS Characteristic
FROM ANZ_0747_KTF kfc
JOIN ANZ_0747_KTS kfc2 ON kfc.BO_KEY = kfc2.BO_KEY AND kfc.CHARACTERISTIC = kfc2.CHARACTERISTIC JOIN ANZ_0747_KTU kfc3 ON kfc.BO_KEY = kfc3.BO_KEY AND kfc.CHARACTERISTIC = kfc3.CHARACTERISTIC
) 
SELECT 'ANZ_0747' AS KeyFigureName,
'123456' AS ProcessingRunId, 
'12345' AS WaveId, 
Characteristic, BusinessObjectKey, 
Value AS Value 
FROM ZDATA 
ORDER BY BusinessObjectKey;</v>
      </c>
    </row>
    <row r="304" spans="1:19" x14ac:dyDescent="0.2">
      <c r="A304" s="4">
        <v>760</v>
      </c>
      <c r="B304" s="3">
        <v>1</v>
      </c>
      <c r="C304" s="3" t="s">
        <v>640</v>
      </c>
      <c r="D304" s="3" t="s">
        <v>89</v>
      </c>
      <c r="E304" s="3" t="s">
        <v>21</v>
      </c>
      <c r="F304" s="3" t="s">
        <v>168</v>
      </c>
      <c r="H304" s="3" t="s">
        <v>23</v>
      </c>
      <c r="I304" s="3" t="s">
        <v>21</v>
      </c>
      <c r="J304" s="3" t="s">
        <v>641</v>
      </c>
      <c r="K304" s="3" t="s">
        <v>63</v>
      </c>
      <c r="L304" s="3" t="s">
        <v>26</v>
      </c>
      <c r="M304" s="3" t="s">
        <v>27</v>
      </c>
      <c r="N304" s="3" t="s">
        <v>28</v>
      </c>
      <c r="P304" s="3" t="s">
        <v>642</v>
      </c>
      <c r="S304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(1,2)
) 
SELECT 'ANZ_0760_AKUT' AS KeyFigureName,
'123456' AS ProcessingRunId, 
'12345' AS WaveId, 
Characteristic, BusinessObjectKey, 
COUNT(*) AS Value 
FROM ZDATA 
GROUP BY Characteristic, BusinessObjectKey
ORDER BY BusinessObjectKey;</v>
      </c>
    </row>
    <row r="305" spans="1:19" x14ac:dyDescent="0.2">
      <c r="A305" s="4">
        <v>760</v>
      </c>
      <c r="B305" s="3">
        <v>1</v>
      </c>
      <c r="C305" s="3" t="s">
        <v>643</v>
      </c>
      <c r="D305" s="3" t="s">
        <v>89</v>
      </c>
      <c r="E305" s="3" t="s">
        <v>21</v>
      </c>
      <c r="F305" s="3" t="s">
        <v>168</v>
      </c>
      <c r="H305" s="3" t="s">
        <v>23</v>
      </c>
      <c r="I305" s="3" t="s">
        <v>21</v>
      </c>
      <c r="J305" s="3" t="s">
        <v>641</v>
      </c>
      <c r="K305" s="3" t="s">
        <v>63</v>
      </c>
      <c r="L305" s="3" t="s">
        <v>26</v>
      </c>
      <c r="M305" s="3" t="s">
        <v>27</v>
      </c>
      <c r="N305" s="3" t="s">
        <v>28</v>
      </c>
      <c r="P305" s="3" t="s">
        <v>644</v>
      </c>
      <c r="S305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(5,6)
) 
SELECT 'ANZ_0760_PSY' AS KeyFigureName,
'123456' AS ProcessingRunId, 
'12345' AS WaveId, 
Characteristic, BusinessObjectKey, 
COUNT(*) AS Value 
FROM ZDATA 
GROUP BY Characteristic, BusinessObjectKey
ORDER BY BusinessObjectKey;</v>
      </c>
    </row>
    <row r="306" spans="1:19" x14ac:dyDescent="0.2">
      <c r="A306" s="4">
        <v>760</v>
      </c>
      <c r="B306" s="3">
        <v>1</v>
      </c>
      <c r="C306" s="3" t="s">
        <v>645</v>
      </c>
      <c r="D306" s="3" t="s">
        <v>89</v>
      </c>
      <c r="E306" s="3" t="s">
        <v>21</v>
      </c>
      <c r="F306" s="3" t="s">
        <v>168</v>
      </c>
      <c r="H306" s="3" t="s">
        <v>23</v>
      </c>
      <c r="I306" s="3" t="s">
        <v>21</v>
      </c>
      <c r="J306" s="3" t="s">
        <v>641</v>
      </c>
      <c r="K306" s="3" t="s">
        <v>63</v>
      </c>
      <c r="L306" s="3" t="s">
        <v>26</v>
      </c>
      <c r="M306" s="3" t="s">
        <v>27</v>
      </c>
      <c r="N306" s="3" t="s">
        <v>28</v>
      </c>
      <c r="P306" s="3" t="s">
        <v>646</v>
      </c>
      <c r="S306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(3,4)
) 
SELECT 'ANZ_0760_REHA' AS KeyFigureName,
'123456' AS ProcessingRunId, 
'12345' AS WaveId, 
Characteristic, BusinessObjectKey, 
COUNT(*) AS Value 
FROM ZDATA 
GROUP BY Characteristic, BusinessObjectKey
ORDER BY BusinessObjectKey;</v>
      </c>
    </row>
    <row r="307" spans="1:19" x14ac:dyDescent="0.2">
      <c r="A307" s="4">
        <v>760</v>
      </c>
      <c r="B307" s="3">
        <v>1</v>
      </c>
      <c r="C307" s="3" t="s">
        <v>647</v>
      </c>
      <c r="D307" s="3" t="s">
        <v>89</v>
      </c>
      <c r="E307" s="3" t="s">
        <v>21</v>
      </c>
      <c r="F307" s="3" t="s">
        <v>648</v>
      </c>
      <c r="H307" s="3" t="s">
        <v>23</v>
      </c>
      <c r="I307" s="3" t="s">
        <v>21</v>
      </c>
      <c r="J307" s="3" t="s">
        <v>641</v>
      </c>
      <c r="K307" s="3" t="s">
        <v>63</v>
      </c>
      <c r="L307" s="3" t="s">
        <v>26</v>
      </c>
      <c r="M307" s="3" t="s">
        <v>27</v>
      </c>
      <c r="N307" s="3" t="s">
        <v>28</v>
      </c>
      <c r="P307" s="3" t="s">
        <v>649</v>
      </c>
      <c r="S307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(1,2)
) 
SELECT 'ANZ_BC_0760_AKUT' AS KeyFigureName,
'123456' AS ProcessingRunId, 
'12345' AS WaveId, 
Characteristic, BusinessObjectKey, 
COUNT(*) AS Value 
FROM ZDATA 
GROUP BY Characteristic, BusinessObjectKey
ORDER BY BusinessObjectKey;</v>
      </c>
    </row>
    <row r="308" spans="1:19" x14ac:dyDescent="0.2">
      <c r="A308" s="4">
        <v>760</v>
      </c>
      <c r="B308" s="3">
        <v>1</v>
      </c>
      <c r="C308" s="3" t="s">
        <v>650</v>
      </c>
      <c r="D308" s="3" t="s">
        <v>89</v>
      </c>
      <c r="E308" s="3" t="s">
        <v>21</v>
      </c>
      <c r="F308" s="3" t="s">
        <v>648</v>
      </c>
      <c r="H308" s="3" t="s">
        <v>23</v>
      </c>
      <c r="I308" s="3" t="s">
        <v>21</v>
      </c>
      <c r="J308" s="3" t="s">
        <v>641</v>
      </c>
      <c r="K308" s="3" t="s">
        <v>63</v>
      </c>
      <c r="L308" s="3" t="s">
        <v>26</v>
      </c>
      <c r="M308" s="3" t="s">
        <v>27</v>
      </c>
      <c r="N308" s="3" t="s">
        <v>28</v>
      </c>
      <c r="P308" s="3" t="s">
        <v>651</v>
      </c>
      <c r="S308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(5,6)
) 
SELECT 'ANZ_BC_0760_PSY' AS KeyFigureName,
'123456' AS ProcessingRunId, 
'12345' AS WaveId, 
Characteristic, BusinessObjectKey, 
COUNT(*) AS Value 
FROM ZDATA 
GROUP BY Characteristic, BusinessObjectKey
ORDER BY BusinessObjectKey;</v>
      </c>
    </row>
    <row r="309" spans="1:19" x14ac:dyDescent="0.2">
      <c r="A309" s="4">
        <v>760</v>
      </c>
      <c r="B309" s="3">
        <v>1</v>
      </c>
      <c r="C309" s="3" t="s">
        <v>652</v>
      </c>
      <c r="D309" s="3" t="s">
        <v>89</v>
      </c>
      <c r="E309" s="3" t="s">
        <v>21</v>
      </c>
      <c r="F309" s="3" t="s">
        <v>648</v>
      </c>
      <c r="H309" s="3" t="s">
        <v>23</v>
      </c>
      <c r="I309" s="3" t="s">
        <v>21</v>
      </c>
      <c r="J309" s="3" t="s">
        <v>641</v>
      </c>
      <c r="K309" s="3" t="s">
        <v>63</v>
      </c>
      <c r="L309" s="3" t="s">
        <v>26</v>
      </c>
      <c r="M309" s="3" t="s">
        <v>27</v>
      </c>
      <c r="N309" s="3" t="s">
        <v>28</v>
      </c>
      <c r="P309" s="3" t="s">
        <v>653</v>
      </c>
      <c r="S309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(3,4)
) 
SELECT 'ANZ_BC_0760_REHA' AS KeyFigureName,
'123456' AS ProcessingRunId, 
'12345' AS WaveId, 
Characteristic, BusinessObjectKey, 
COUNT(*) AS Value 
FROM ZDATA 
GROUP BY Characteristic, BusinessObjectKey
ORDER BY BusinessObjectKey;</v>
      </c>
    </row>
    <row r="310" spans="1:19" x14ac:dyDescent="0.2">
      <c r="A310" s="4">
        <v>760</v>
      </c>
      <c r="B310" s="3">
        <v>2</v>
      </c>
      <c r="C310" s="3" t="s">
        <v>654</v>
      </c>
      <c r="D310" s="3" t="s">
        <v>655</v>
      </c>
      <c r="E310" s="3" t="s">
        <v>21</v>
      </c>
      <c r="F310" s="3" t="s">
        <v>39</v>
      </c>
      <c r="G310" s="3" t="s">
        <v>40</v>
      </c>
      <c r="I310" s="3" t="s">
        <v>41</v>
      </c>
      <c r="M310" s="3" t="s">
        <v>656</v>
      </c>
      <c r="N310" s="3" t="s">
        <v>43</v>
      </c>
      <c r="O310" s="3" t="s">
        <v>657</v>
      </c>
      <c r="S310" s="3" t="str">
        <f t="shared" si="4"/>
        <v>WITH ZDATA AS
(SELECT NVL(kfc.VALUE,0)-NVL(kfc2.VALUE,0) AS Value, 
'123' AS BusinessObjectKey, 
kfc.CHARACTERISTIC AS Characteristic
FROM ANZ_0760_AKUT kfc
JOIN PDP_ANZ_BC_0760_AKUT kfc2 ON kfc.BO_KEY = kfc2.BO_KEY AND kfc.CHARACTERISTIC = kfc2.CHARACTERISTIC
) 
SELECT 'VGL_ABS_0760_AKUT' AS KeyFigureName,
'123456' AS ProcessingRunId, 
'12345' AS WaveId, 
Characteristic, BusinessObjectKey, 
Value AS Value 
FROM ZDATA 
ORDER BY BusinessObjectKey;</v>
      </c>
    </row>
    <row r="311" spans="1:19" x14ac:dyDescent="0.2">
      <c r="A311" s="4">
        <v>760</v>
      </c>
      <c r="B311" s="3">
        <v>2</v>
      </c>
      <c r="C311" s="3" t="s">
        <v>658</v>
      </c>
      <c r="D311" s="3" t="s">
        <v>659</v>
      </c>
      <c r="E311" s="3" t="s">
        <v>21</v>
      </c>
      <c r="F311" s="3" t="s">
        <v>39</v>
      </c>
      <c r="G311" s="3" t="s">
        <v>40</v>
      </c>
      <c r="I311" s="3" t="s">
        <v>41</v>
      </c>
      <c r="M311" s="3" t="s">
        <v>660</v>
      </c>
      <c r="N311" s="3" t="s">
        <v>43</v>
      </c>
      <c r="O311" s="3" t="s">
        <v>661</v>
      </c>
      <c r="S311" s="3" t="str">
        <f t="shared" si="4"/>
        <v>WITH ZDATA AS
(SELECT NVL(kfc.VALUE,0)-NVL(kfc2.VALUE,0) AS Value, 
'123' AS BusinessObjectKey, 
kfc.CHARACTERISTIC AS Characteristic
FROM ANZ_0760_PSY kfc
JOIN PDP_ANZ_BC_0760_PSY kfc2 ON kfc.BO_KEY = kfc2.BO_KEY AND kfc.CHARACTERISTIC = kfc2.CHARACTERISTIC
) 
SELECT 'VGL_ABS_0760_PSY' AS KeyFigureName,
'123456' AS ProcessingRunId, 
'12345' AS WaveId, 
Characteristic, BusinessObjectKey, 
Value AS Value 
FROM ZDATA 
ORDER BY BusinessObjectKey;</v>
      </c>
    </row>
    <row r="312" spans="1:19" x14ac:dyDescent="0.2">
      <c r="A312" s="4">
        <v>760</v>
      </c>
      <c r="B312" s="3">
        <v>2</v>
      </c>
      <c r="C312" s="3" t="s">
        <v>662</v>
      </c>
      <c r="D312" s="3" t="s">
        <v>663</v>
      </c>
      <c r="E312" s="3" t="s">
        <v>21</v>
      </c>
      <c r="F312" s="3" t="s">
        <v>39</v>
      </c>
      <c r="G312" s="3" t="s">
        <v>40</v>
      </c>
      <c r="I312" s="3" t="s">
        <v>41</v>
      </c>
      <c r="M312" s="3" t="s">
        <v>664</v>
      </c>
      <c r="N312" s="3" t="s">
        <v>43</v>
      </c>
      <c r="O312" s="3" t="s">
        <v>665</v>
      </c>
      <c r="S312" s="3" t="str">
        <f t="shared" si="4"/>
        <v>WITH ZDATA AS
(SELECT NVL(kfc.VALUE,0)-NVL(kfc2.VALUE,0) AS Value, 
'123' AS BusinessObjectKey, 
kfc.CHARACTERISTIC AS Characteristic
FROM ANZ_0760_REHA kfc
JOIN PDP_ANZ_BC_0760_REHA kfc2 ON kfc.BO_KEY = kfc2.BO_KEY AND kfc.CHARACTERISTIC = kfc2.CHARACTERISTIC
) 
SELECT 'VGL_ABS_0760_REHA' AS KeyFigureName,
'123456' AS ProcessingRunId, 
'12345' AS WaveId, 
Characteristic, BusinessObjectKey, 
Value AS Value 
FROM ZDATA 
ORDER BY BusinessObjectKey;</v>
      </c>
    </row>
    <row r="313" spans="1:19" x14ac:dyDescent="0.2">
      <c r="A313" s="4">
        <v>919</v>
      </c>
      <c r="B313" s="3">
        <v>1</v>
      </c>
      <c r="C313" s="3" t="s">
        <v>666</v>
      </c>
      <c r="D313" s="3" t="s">
        <v>667</v>
      </c>
      <c r="E313" s="3" t="s">
        <v>21</v>
      </c>
      <c r="F313" s="3" t="s">
        <v>668</v>
      </c>
      <c r="H313" s="3" t="s">
        <v>669</v>
      </c>
      <c r="I313" s="3" t="s">
        <v>21</v>
      </c>
      <c r="J313" s="3" t="s">
        <v>670</v>
      </c>
      <c r="K313" s="3" t="s">
        <v>671</v>
      </c>
      <c r="L313" s="3" t="s">
        <v>26</v>
      </c>
      <c r="M313" s="3" t="s">
        <v>672</v>
      </c>
      <c r="N313" s="3" t="s">
        <v>28</v>
      </c>
      <c r="S313" s="3" t="str">
        <f t="shared" si="4"/>
        <v>WITH ZDATA AS
(SELECT sta.UNIT_IDENTIFIER AS Value, 
'123' AS BusinessObjectKey, 
CASE WHEN ROWNUM=1 THEN 'STANDORT_1'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4" spans="1:19" x14ac:dyDescent="0.2">
      <c r="A314" s="4">
        <v>919</v>
      </c>
      <c r="B314" s="3">
        <v>1</v>
      </c>
      <c r="C314" s="3" t="s">
        <v>666</v>
      </c>
      <c r="D314" s="3" t="s">
        <v>667</v>
      </c>
      <c r="E314" s="3" t="s">
        <v>21</v>
      </c>
      <c r="F314" s="3" t="s">
        <v>668</v>
      </c>
      <c r="H314" s="3" t="s">
        <v>669</v>
      </c>
      <c r="I314" s="3" t="s">
        <v>21</v>
      </c>
      <c r="J314" s="3" t="s">
        <v>673</v>
      </c>
      <c r="K314" s="3" t="s">
        <v>674</v>
      </c>
      <c r="L314" s="3" t="s">
        <v>26</v>
      </c>
      <c r="M314" s="3" t="s">
        <v>672</v>
      </c>
      <c r="N314" s="3" t="s">
        <v>28</v>
      </c>
      <c r="S314" s="3" t="str">
        <f t="shared" si="4"/>
        <v>WITH ZDATA AS
(SELECT sta.UNIT_IDENTIFIER AS Value, 
'123' AS BusinessObjectKey, 
CASE WHEN ROWNUM=2 THEN 'STANDORT_2'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5" spans="1:19" x14ac:dyDescent="0.2">
      <c r="A315" s="4">
        <v>919</v>
      </c>
      <c r="B315" s="3">
        <v>1</v>
      </c>
      <c r="C315" s="3" t="s">
        <v>666</v>
      </c>
      <c r="D315" s="3" t="s">
        <v>667</v>
      </c>
      <c r="E315" s="3" t="s">
        <v>21</v>
      </c>
      <c r="F315" s="3" t="s">
        <v>668</v>
      </c>
      <c r="H315" s="3" t="s">
        <v>669</v>
      </c>
      <c r="I315" s="3" t="s">
        <v>21</v>
      </c>
      <c r="J315" s="3" t="s">
        <v>675</v>
      </c>
      <c r="K315" s="3" t="s">
        <v>676</v>
      </c>
      <c r="L315" s="3" t="s">
        <v>26</v>
      </c>
      <c r="M315" s="3" t="s">
        <v>672</v>
      </c>
      <c r="N315" s="3" t="s">
        <v>28</v>
      </c>
      <c r="S315" s="3" t="str">
        <f t="shared" si="4"/>
        <v>WITH ZDATA AS
(SELECT sta.UNIT_IDENTIFIER AS Value, 
'123' AS BusinessObjectKey, 
CASE WHEN ROWNUM=3 THEN 'STANDORT_3'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6" spans="1:19" x14ac:dyDescent="0.2">
      <c r="A316" s="4">
        <v>919</v>
      </c>
      <c r="B316" s="3">
        <v>1</v>
      </c>
      <c r="C316" s="3" t="s">
        <v>666</v>
      </c>
      <c r="D316" s="3" t="s">
        <v>667</v>
      </c>
      <c r="E316" s="3" t="s">
        <v>21</v>
      </c>
      <c r="F316" s="3" t="s">
        <v>668</v>
      </c>
      <c r="H316" s="3" t="s">
        <v>669</v>
      </c>
      <c r="I316" s="3" t="s">
        <v>21</v>
      </c>
      <c r="J316" s="3" t="s">
        <v>677</v>
      </c>
      <c r="K316" s="3" t="s">
        <v>678</v>
      </c>
      <c r="L316" s="3" t="s">
        <v>26</v>
      </c>
      <c r="M316" s="3" t="s">
        <v>672</v>
      </c>
      <c r="N316" s="3" t="s">
        <v>28</v>
      </c>
      <c r="S316" s="3" t="str">
        <f t="shared" si="4"/>
        <v>WITH ZDATA AS
(SELECT sta.UNIT_IDENTIFIER AS Value, 
'123' AS BusinessObjectKey, 
CASE WHEN ROWNUM=4 THEN 'STANDORT_4'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7" spans="1:19" x14ac:dyDescent="0.2">
      <c r="A317" s="4">
        <v>919</v>
      </c>
      <c r="B317" s="3">
        <v>1</v>
      </c>
      <c r="C317" s="3" t="s">
        <v>666</v>
      </c>
      <c r="D317" s="3" t="s">
        <v>667</v>
      </c>
      <c r="E317" s="3" t="s">
        <v>21</v>
      </c>
      <c r="F317" s="3" t="s">
        <v>668</v>
      </c>
      <c r="H317" s="3" t="s">
        <v>669</v>
      </c>
      <c r="I317" s="3" t="s">
        <v>21</v>
      </c>
      <c r="J317" s="3" t="s">
        <v>679</v>
      </c>
      <c r="K317" s="3" t="s">
        <v>680</v>
      </c>
      <c r="L317" s="3" t="s">
        <v>26</v>
      </c>
      <c r="M317" s="3" t="s">
        <v>672</v>
      </c>
      <c r="N317" s="3" t="s">
        <v>28</v>
      </c>
      <c r="S317" s="3" t="str">
        <f t="shared" si="4"/>
        <v>WITH ZDATA AS
(SELECT sta.UNIT_IDENTIFIER AS Value, 
'123' AS BusinessObjectKey, 
CASE WHEN ROWNUM=5 THEN 'STANDORT_5'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8" spans="1:19" x14ac:dyDescent="0.2">
      <c r="A318" s="4">
        <v>919</v>
      </c>
      <c r="B318" s="3">
        <v>1</v>
      </c>
      <c r="C318" s="3" t="s">
        <v>666</v>
      </c>
      <c r="D318" s="3" t="s">
        <v>667</v>
      </c>
      <c r="E318" s="3" t="s">
        <v>21</v>
      </c>
      <c r="F318" s="3" t="s">
        <v>668</v>
      </c>
      <c r="H318" s="3" t="s">
        <v>669</v>
      </c>
      <c r="I318" s="3" t="s">
        <v>21</v>
      </c>
      <c r="J318" s="3" t="s">
        <v>681</v>
      </c>
      <c r="K318" s="3" t="s">
        <v>682</v>
      </c>
      <c r="L318" s="3" t="s">
        <v>26</v>
      </c>
      <c r="M318" s="3" t="s">
        <v>672</v>
      </c>
      <c r="N318" s="3" t="s">
        <v>28</v>
      </c>
      <c r="S318" s="3" t="str">
        <f t="shared" si="4"/>
        <v>WITH ZDATA AS
(SELECT sta.UNIT_IDENTIFIER AS Value, 
'123' AS BusinessObjectKey, 
CASE WHEN ROWNUM=6 THEN 'STANDORT_6'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9" spans="1:19" x14ac:dyDescent="0.2">
      <c r="A319" s="4">
        <v>919</v>
      </c>
      <c r="B319" s="3">
        <v>1</v>
      </c>
      <c r="C319" s="3" t="s">
        <v>666</v>
      </c>
      <c r="D319" s="3" t="s">
        <v>667</v>
      </c>
      <c r="E319" s="3" t="s">
        <v>21</v>
      </c>
      <c r="F319" s="3" t="s">
        <v>668</v>
      </c>
      <c r="H319" s="3" t="s">
        <v>669</v>
      </c>
      <c r="I319" s="3" t="s">
        <v>21</v>
      </c>
      <c r="J319" s="3" t="s">
        <v>683</v>
      </c>
      <c r="K319" s="3" t="s">
        <v>684</v>
      </c>
      <c r="L319" s="3" t="s">
        <v>26</v>
      </c>
      <c r="M319" s="3" t="s">
        <v>672</v>
      </c>
      <c r="N319" s="3" t="s">
        <v>28</v>
      </c>
      <c r="S319" s="3" t="str">
        <f t="shared" si="4"/>
        <v>WITH ZDATA AS
(SELECT sta.UNIT_IDENTIFIER AS Value, 
'123' AS BusinessObjectKey, 
CASE WHEN ROWNUM=7 THEN 'STANDORT_7'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0" spans="1:19" x14ac:dyDescent="0.2">
      <c r="A320" s="4">
        <v>919</v>
      </c>
      <c r="B320" s="3">
        <v>1</v>
      </c>
      <c r="C320" s="3" t="s">
        <v>666</v>
      </c>
      <c r="D320" s="3" t="s">
        <v>667</v>
      </c>
      <c r="E320" s="3" t="s">
        <v>21</v>
      </c>
      <c r="F320" s="3" t="s">
        <v>668</v>
      </c>
      <c r="H320" s="3" t="s">
        <v>669</v>
      </c>
      <c r="I320" s="3" t="s">
        <v>21</v>
      </c>
      <c r="J320" s="3" t="s">
        <v>685</v>
      </c>
      <c r="K320" s="3" t="s">
        <v>686</v>
      </c>
      <c r="L320" s="3" t="s">
        <v>26</v>
      </c>
      <c r="M320" s="3" t="s">
        <v>672</v>
      </c>
      <c r="N320" s="3" t="s">
        <v>28</v>
      </c>
      <c r="S320" s="3" t="str">
        <f t="shared" si="4"/>
        <v>WITH ZDATA AS
(SELECT sta.UNIT_IDENTIFIER AS Value, 
'123' AS BusinessObjectKey, 
CASE WHEN ROWNUM=8 THEN 'STANDORT_8'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1" spans="1:19" x14ac:dyDescent="0.2">
      <c r="A321" s="4">
        <v>919</v>
      </c>
      <c r="B321" s="3">
        <v>1</v>
      </c>
      <c r="C321" s="3" t="s">
        <v>666</v>
      </c>
      <c r="D321" s="3" t="s">
        <v>667</v>
      </c>
      <c r="E321" s="3" t="s">
        <v>21</v>
      </c>
      <c r="F321" s="3" t="s">
        <v>668</v>
      </c>
      <c r="H321" s="3" t="s">
        <v>669</v>
      </c>
      <c r="I321" s="3" t="s">
        <v>21</v>
      </c>
      <c r="J321" s="3" t="s">
        <v>687</v>
      </c>
      <c r="K321" s="3" t="s">
        <v>688</v>
      </c>
      <c r="L321" s="3" t="s">
        <v>26</v>
      </c>
      <c r="M321" s="3" t="s">
        <v>672</v>
      </c>
      <c r="N321" s="3" t="s">
        <v>28</v>
      </c>
      <c r="S321" s="3" t="str">
        <f t="shared" si="4"/>
        <v>WITH ZDATA AS
(SELECT sta.UNIT_IDENTIFIER AS Value, 
'123' AS BusinessObjectKey, 
CASE WHEN ROWNUM=9 THEN 'STANDORT_9'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2" spans="1:19" x14ac:dyDescent="0.2">
      <c r="A322" s="4">
        <v>919</v>
      </c>
      <c r="B322" s="3">
        <v>1</v>
      </c>
      <c r="C322" s="3" t="s">
        <v>666</v>
      </c>
      <c r="D322" s="3" t="s">
        <v>667</v>
      </c>
      <c r="E322" s="3" t="s">
        <v>21</v>
      </c>
      <c r="F322" s="3" t="s">
        <v>668</v>
      </c>
      <c r="H322" s="3" t="s">
        <v>669</v>
      </c>
      <c r="I322" s="3" t="s">
        <v>21</v>
      </c>
      <c r="J322" s="3" t="s">
        <v>689</v>
      </c>
      <c r="K322" s="3" t="s">
        <v>690</v>
      </c>
      <c r="L322" s="3" t="s">
        <v>26</v>
      </c>
      <c r="M322" s="3" t="s">
        <v>672</v>
      </c>
      <c r="N322" s="3" t="s">
        <v>28</v>
      </c>
      <c r="S322" s="3" t="str">
        <f t="shared" si="4"/>
        <v>WITH ZDATA AS
(SELECT sta.UNIT_IDENTIFIER AS Value, 
'123' AS BusinessObjectKey, 
CASE WHEN ROWNUM=10 THEN 'STANDORT_10'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3" spans="1:19" x14ac:dyDescent="0.2">
      <c r="A323" s="4">
        <v>919</v>
      </c>
      <c r="B323" s="3">
        <v>1</v>
      </c>
      <c r="C323" s="3" t="s">
        <v>666</v>
      </c>
      <c r="D323" s="3" t="s">
        <v>667</v>
      </c>
      <c r="E323" s="3" t="s">
        <v>21</v>
      </c>
      <c r="F323" s="3" t="s">
        <v>668</v>
      </c>
      <c r="H323" s="3" t="s">
        <v>669</v>
      </c>
      <c r="I323" s="3" t="s">
        <v>21</v>
      </c>
      <c r="J323" s="3" t="s">
        <v>691</v>
      </c>
      <c r="K323" s="3" t="s">
        <v>692</v>
      </c>
      <c r="L323" s="3" t="s">
        <v>26</v>
      </c>
      <c r="M323" s="3" t="s">
        <v>672</v>
      </c>
      <c r="N323" s="3" t="s">
        <v>28</v>
      </c>
      <c r="S323" s="3" t="str">
        <f t="shared" si="4"/>
        <v>WITH ZDATA AS
(SELECT sta.UNIT_IDENTIFIER AS Value, 
'123' AS BusinessObjectKey, 
CASE WHEN ROWNUM=11 THEN 'STANDORT_11'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4" spans="1:19" x14ac:dyDescent="0.2">
      <c r="A324" s="4">
        <v>919</v>
      </c>
      <c r="B324" s="3">
        <v>1</v>
      </c>
      <c r="C324" s="3" t="s">
        <v>666</v>
      </c>
      <c r="D324" s="3" t="s">
        <v>667</v>
      </c>
      <c r="E324" s="3" t="s">
        <v>21</v>
      </c>
      <c r="F324" s="3" t="s">
        <v>668</v>
      </c>
      <c r="H324" s="3" t="s">
        <v>669</v>
      </c>
      <c r="I324" s="3" t="s">
        <v>21</v>
      </c>
      <c r="J324" s="3" t="s">
        <v>693</v>
      </c>
      <c r="K324" s="3" t="s">
        <v>694</v>
      </c>
      <c r="L324" s="3" t="s">
        <v>26</v>
      </c>
      <c r="M324" s="3" t="s">
        <v>672</v>
      </c>
      <c r="N324" s="3" t="s">
        <v>28</v>
      </c>
      <c r="S324" s="3" t="str">
        <f t="shared" ref="S324:S387" si="5">IF(F324="","","WITH ZDATA AS
(SELECT "&amp;F324&amp;" AS Value, 
'123' AS BusinessObjectKey, 
"&amp;IF(I324="False","CASE WHEN "&amp;K324&amp;" THEN '"&amp;J324&amp;"' ELSE '"&amp;L324&amp;"' 
END AS Characteristic",G324)&amp;"
FROM "&amp;M324&amp;"
"&amp;O324&amp;"
"&amp;IF(P324="","", "WHERE "&amp;P324)&amp;"
"&amp;IF(Q324="","", "GROUP BY "&amp;Q324)&amp;"
"&amp;IF(R324="","", "HAVING "&amp;R324)&amp;"
) 
SELECT '"&amp;C324&amp;"' AS KeyFigureName,
'123456' AS ProcessingRunId, 
'12345' AS WaveId, 
Characteristic, BusinessObjectKey, 
"&amp;IF(H324="","Value",H324)&amp;" AS Value 
FROM ZDATA 
"&amp;IF(I324="False","GROUP BY Characteristic, BusinessObjectKey","")&amp;"
ORDER BY BusinessObjectKey;")</f>
        <v>WITH ZDATA AS
(SELECT sta.UNIT_IDENTIFIER AS Value, 
'123' AS BusinessObjectKey, 
CASE WHEN ROWNUM=12 THEN 'STANDORT_12'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5" spans="1:19" x14ac:dyDescent="0.2">
      <c r="A325" s="4">
        <v>919</v>
      </c>
      <c r="B325" s="3">
        <v>1</v>
      </c>
      <c r="C325" s="3" t="s">
        <v>666</v>
      </c>
      <c r="D325" s="3" t="s">
        <v>667</v>
      </c>
      <c r="E325" s="3" t="s">
        <v>21</v>
      </c>
      <c r="F325" s="3" t="s">
        <v>668</v>
      </c>
      <c r="H325" s="3" t="s">
        <v>669</v>
      </c>
      <c r="I325" s="3" t="s">
        <v>21</v>
      </c>
      <c r="J325" s="3" t="s">
        <v>695</v>
      </c>
      <c r="K325" s="3" t="s">
        <v>696</v>
      </c>
      <c r="L325" s="3" t="s">
        <v>26</v>
      </c>
      <c r="M325" s="3" t="s">
        <v>672</v>
      </c>
      <c r="N325" s="3" t="s">
        <v>28</v>
      </c>
      <c r="S325" s="3" t="str">
        <f t="shared" si="5"/>
        <v>WITH ZDATA AS
(SELECT sta.UNIT_IDENTIFIER AS Value, 
'123' AS BusinessObjectKey, 
CASE WHEN ROWNUM=13 THEN 'STANDORT_13'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6" spans="1:19" x14ac:dyDescent="0.2">
      <c r="A326" s="4">
        <v>919</v>
      </c>
      <c r="B326" s="3">
        <v>1</v>
      </c>
      <c r="C326" s="3" t="s">
        <v>666</v>
      </c>
      <c r="D326" s="3" t="s">
        <v>667</v>
      </c>
      <c r="E326" s="3" t="s">
        <v>21</v>
      </c>
      <c r="F326" s="3" t="s">
        <v>668</v>
      </c>
      <c r="H326" s="3" t="s">
        <v>669</v>
      </c>
      <c r="I326" s="3" t="s">
        <v>21</v>
      </c>
      <c r="J326" s="3" t="s">
        <v>697</v>
      </c>
      <c r="K326" s="3" t="s">
        <v>698</v>
      </c>
      <c r="L326" s="3" t="s">
        <v>26</v>
      </c>
      <c r="M326" s="3" t="s">
        <v>672</v>
      </c>
      <c r="N326" s="3" t="s">
        <v>28</v>
      </c>
      <c r="S326" s="3" t="str">
        <f t="shared" si="5"/>
        <v>WITH ZDATA AS
(SELECT sta.UNIT_IDENTIFIER AS Value, 
'123' AS BusinessObjectKey, 
CASE WHEN ROWNUM=14 THEN 'STANDORT_14'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7" spans="1:19" x14ac:dyDescent="0.2">
      <c r="A327" s="4">
        <v>919</v>
      </c>
      <c r="B327" s="3">
        <v>1</v>
      </c>
      <c r="C327" s="3" t="s">
        <v>666</v>
      </c>
      <c r="D327" s="3" t="s">
        <v>667</v>
      </c>
      <c r="E327" s="3" t="s">
        <v>21</v>
      </c>
      <c r="F327" s="3" t="s">
        <v>668</v>
      </c>
      <c r="H327" s="3" t="s">
        <v>669</v>
      </c>
      <c r="I327" s="3" t="s">
        <v>21</v>
      </c>
      <c r="J327" s="3" t="s">
        <v>699</v>
      </c>
      <c r="K327" s="3" t="s">
        <v>700</v>
      </c>
      <c r="L327" s="3" t="s">
        <v>26</v>
      </c>
      <c r="M327" s="3" t="s">
        <v>672</v>
      </c>
      <c r="N327" s="3" t="s">
        <v>28</v>
      </c>
      <c r="S327" s="3" t="str">
        <f t="shared" si="5"/>
        <v>WITH ZDATA AS
(SELECT sta.UNIT_IDENTIFIER AS Value, 
'123' AS BusinessObjectKey, 
CASE WHEN ROWNUM=15 THEN 'STANDORT_15'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8" spans="1:19" x14ac:dyDescent="0.2">
      <c r="A328" s="4">
        <v>919</v>
      </c>
      <c r="B328" s="3">
        <v>1</v>
      </c>
      <c r="C328" s="3" t="s">
        <v>666</v>
      </c>
      <c r="D328" s="3" t="s">
        <v>667</v>
      </c>
      <c r="E328" s="3" t="s">
        <v>21</v>
      </c>
      <c r="F328" s="3" t="s">
        <v>668</v>
      </c>
      <c r="H328" s="3" t="s">
        <v>669</v>
      </c>
      <c r="I328" s="3" t="s">
        <v>21</v>
      </c>
      <c r="J328" s="3" t="s">
        <v>701</v>
      </c>
      <c r="K328" s="3" t="s">
        <v>702</v>
      </c>
      <c r="L328" s="3" t="s">
        <v>26</v>
      </c>
      <c r="M328" s="3" t="s">
        <v>672</v>
      </c>
      <c r="N328" s="3" t="s">
        <v>28</v>
      </c>
      <c r="S328" s="3" t="str">
        <f t="shared" si="5"/>
        <v>WITH ZDATA AS
(SELECT sta.UNIT_IDENTIFIER AS Value, 
'123' AS BusinessObjectKey, 
CASE WHEN ROWNUM=16 THEN 'STANDORT_16'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9" spans="1:19" x14ac:dyDescent="0.2">
      <c r="A329" s="4">
        <v>919</v>
      </c>
      <c r="B329" s="3">
        <v>1</v>
      </c>
      <c r="C329" s="3" t="s">
        <v>666</v>
      </c>
      <c r="D329" s="3" t="s">
        <v>667</v>
      </c>
      <c r="E329" s="3" t="s">
        <v>21</v>
      </c>
      <c r="F329" s="3" t="s">
        <v>668</v>
      </c>
      <c r="H329" s="3" t="s">
        <v>669</v>
      </c>
      <c r="I329" s="3" t="s">
        <v>21</v>
      </c>
      <c r="J329" s="3" t="s">
        <v>703</v>
      </c>
      <c r="K329" s="3" t="s">
        <v>704</v>
      </c>
      <c r="L329" s="3" t="s">
        <v>26</v>
      </c>
      <c r="M329" s="3" t="s">
        <v>672</v>
      </c>
      <c r="N329" s="3" t="s">
        <v>28</v>
      </c>
      <c r="S329" s="3" t="str">
        <f t="shared" si="5"/>
        <v>WITH ZDATA AS
(SELECT sta.UNIT_IDENTIFIER AS Value, 
'123' AS BusinessObjectKey, 
CASE WHEN ROWNUM=17 THEN 'STANDORT_17'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0" spans="1:19" x14ac:dyDescent="0.2">
      <c r="A330" s="4">
        <v>919</v>
      </c>
      <c r="B330" s="3">
        <v>1</v>
      </c>
      <c r="C330" s="3" t="s">
        <v>666</v>
      </c>
      <c r="D330" s="3" t="s">
        <v>667</v>
      </c>
      <c r="E330" s="3" t="s">
        <v>21</v>
      </c>
      <c r="F330" s="3" t="s">
        <v>668</v>
      </c>
      <c r="H330" s="3" t="s">
        <v>669</v>
      </c>
      <c r="I330" s="3" t="s">
        <v>21</v>
      </c>
      <c r="J330" s="3" t="s">
        <v>705</v>
      </c>
      <c r="K330" s="3" t="s">
        <v>706</v>
      </c>
      <c r="L330" s="3" t="s">
        <v>26</v>
      </c>
      <c r="M330" s="3" t="s">
        <v>672</v>
      </c>
      <c r="N330" s="3" t="s">
        <v>28</v>
      </c>
      <c r="S330" s="3" t="str">
        <f t="shared" si="5"/>
        <v>WITH ZDATA AS
(SELECT sta.UNIT_IDENTIFIER AS Value, 
'123' AS BusinessObjectKey, 
CASE WHEN ROWNUM=18 THEN 'STANDORT_18'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1" spans="1:19" x14ac:dyDescent="0.2">
      <c r="A331" s="4">
        <v>919</v>
      </c>
      <c r="B331" s="3">
        <v>1</v>
      </c>
      <c r="C331" s="3" t="s">
        <v>666</v>
      </c>
      <c r="D331" s="3" t="s">
        <v>667</v>
      </c>
      <c r="E331" s="3" t="s">
        <v>21</v>
      </c>
      <c r="F331" s="3" t="s">
        <v>668</v>
      </c>
      <c r="H331" s="3" t="s">
        <v>669</v>
      </c>
      <c r="I331" s="3" t="s">
        <v>21</v>
      </c>
      <c r="J331" s="3" t="s">
        <v>707</v>
      </c>
      <c r="K331" s="3" t="s">
        <v>708</v>
      </c>
      <c r="L331" s="3" t="s">
        <v>26</v>
      </c>
      <c r="M331" s="3" t="s">
        <v>672</v>
      </c>
      <c r="N331" s="3" t="s">
        <v>28</v>
      </c>
      <c r="S331" s="3" t="str">
        <f t="shared" si="5"/>
        <v>WITH ZDATA AS
(SELECT sta.UNIT_IDENTIFIER AS Value, 
'123' AS BusinessObjectKey, 
CASE WHEN ROWNUM=19 THEN 'STANDORT_19'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2" spans="1:19" x14ac:dyDescent="0.2">
      <c r="A332" s="4">
        <v>919</v>
      </c>
      <c r="B332" s="3">
        <v>1</v>
      </c>
      <c r="C332" s="3" t="s">
        <v>666</v>
      </c>
      <c r="D332" s="3" t="s">
        <v>667</v>
      </c>
      <c r="E332" s="3" t="s">
        <v>21</v>
      </c>
      <c r="F332" s="3" t="s">
        <v>668</v>
      </c>
      <c r="H332" s="3" t="s">
        <v>669</v>
      </c>
      <c r="I332" s="3" t="s">
        <v>21</v>
      </c>
      <c r="J332" s="3" t="s">
        <v>709</v>
      </c>
      <c r="K332" s="3" t="s">
        <v>710</v>
      </c>
      <c r="L332" s="3" t="s">
        <v>26</v>
      </c>
      <c r="M332" s="3" t="s">
        <v>672</v>
      </c>
      <c r="N332" s="3" t="s">
        <v>28</v>
      </c>
      <c r="S332" s="3" t="str">
        <f t="shared" si="5"/>
        <v>WITH ZDATA AS
(SELECT sta.UNIT_IDENTIFIER AS Value, 
'123' AS BusinessObjectKey, 
CASE WHEN ROWNUM=20 THEN 'STANDORT_20'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3" spans="1:19" x14ac:dyDescent="0.2">
      <c r="A333" s="4">
        <v>919</v>
      </c>
      <c r="B333" s="3">
        <v>1</v>
      </c>
      <c r="C333" s="3" t="s">
        <v>666</v>
      </c>
      <c r="D333" s="3" t="s">
        <v>667</v>
      </c>
      <c r="E333" s="3" t="s">
        <v>21</v>
      </c>
      <c r="F333" s="3" t="s">
        <v>668</v>
      </c>
      <c r="H333" s="3" t="s">
        <v>669</v>
      </c>
      <c r="I333" s="3" t="s">
        <v>21</v>
      </c>
      <c r="J333" s="3" t="s">
        <v>711</v>
      </c>
      <c r="K333" s="3" t="s">
        <v>712</v>
      </c>
      <c r="L333" s="3" t="s">
        <v>26</v>
      </c>
      <c r="M333" s="3" t="s">
        <v>672</v>
      </c>
      <c r="N333" s="3" t="s">
        <v>28</v>
      </c>
      <c r="S333" s="3" t="str">
        <f t="shared" si="5"/>
        <v>WITH ZDATA AS
(SELECT sta.UNIT_IDENTIFIER AS Value, 
'123' AS BusinessObjectKey, 
CASE WHEN ROWNUM=21 THEN 'STANDORT_21'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4" spans="1:19" x14ac:dyDescent="0.2">
      <c r="A334" s="4">
        <v>919</v>
      </c>
      <c r="B334" s="3">
        <v>1</v>
      </c>
      <c r="C334" s="3" t="s">
        <v>666</v>
      </c>
      <c r="D334" s="3" t="s">
        <v>667</v>
      </c>
      <c r="E334" s="3" t="s">
        <v>21</v>
      </c>
      <c r="F334" s="3" t="s">
        <v>668</v>
      </c>
      <c r="H334" s="3" t="s">
        <v>669</v>
      </c>
      <c r="I334" s="3" t="s">
        <v>21</v>
      </c>
      <c r="J334" s="3" t="s">
        <v>713</v>
      </c>
      <c r="K334" s="3" t="s">
        <v>714</v>
      </c>
      <c r="L334" s="3" t="s">
        <v>26</v>
      </c>
      <c r="M334" s="3" t="s">
        <v>672</v>
      </c>
      <c r="N334" s="3" t="s">
        <v>28</v>
      </c>
      <c r="S334" s="3" t="str">
        <f t="shared" si="5"/>
        <v>WITH ZDATA AS
(SELECT sta.UNIT_IDENTIFIER AS Value, 
'123' AS BusinessObjectKey, 
CASE WHEN ROWNUM=22 THEN 'STANDORT_22'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5" spans="1:19" x14ac:dyDescent="0.2">
      <c r="A335" s="4">
        <v>919</v>
      </c>
      <c r="B335" s="3">
        <v>1</v>
      </c>
      <c r="C335" s="3" t="s">
        <v>666</v>
      </c>
      <c r="D335" s="3" t="s">
        <v>667</v>
      </c>
      <c r="E335" s="3" t="s">
        <v>21</v>
      </c>
      <c r="F335" s="3" t="s">
        <v>668</v>
      </c>
      <c r="H335" s="3" t="s">
        <v>669</v>
      </c>
      <c r="I335" s="3" t="s">
        <v>21</v>
      </c>
      <c r="J335" s="3" t="s">
        <v>715</v>
      </c>
      <c r="K335" s="3" t="s">
        <v>716</v>
      </c>
      <c r="L335" s="3" t="s">
        <v>26</v>
      </c>
      <c r="M335" s="3" t="s">
        <v>672</v>
      </c>
      <c r="N335" s="3" t="s">
        <v>28</v>
      </c>
      <c r="S335" s="3" t="str">
        <f t="shared" si="5"/>
        <v>WITH ZDATA AS
(SELECT sta.UNIT_IDENTIFIER AS Value, 
'123' AS BusinessObjectKey, 
CASE WHEN ROWNUM=23 THEN 'STANDORT_23'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6" spans="1:19" x14ac:dyDescent="0.2">
      <c r="A336" s="4">
        <v>919</v>
      </c>
      <c r="B336" s="3">
        <v>1</v>
      </c>
      <c r="C336" s="3" t="s">
        <v>666</v>
      </c>
      <c r="D336" s="3" t="s">
        <v>667</v>
      </c>
      <c r="E336" s="3" t="s">
        <v>21</v>
      </c>
      <c r="F336" s="3" t="s">
        <v>668</v>
      </c>
      <c r="H336" s="3" t="s">
        <v>669</v>
      </c>
      <c r="I336" s="3" t="s">
        <v>21</v>
      </c>
      <c r="J336" s="3" t="s">
        <v>717</v>
      </c>
      <c r="K336" s="3" t="s">
        <v>718</v>
      </c>
      <c r="L336" s="3" t="s">
        <v>26</v>
      </c>
      <c r="M336" s="3" t="s">
        <v>672</v>
      </c>
      <c r="N336" s="3" t="s">
        <v>28</v>
      </c>
      <c r="S336" s="3" t="str">
        <f t="shared" si="5"/>
        <v>WITH ZDATA AS
(SELECT sta.UNIT_IDENTIFIER AS Value, 
'123' AS BusinessObjectKey, 
CASE WHEN ROWNUM=24 THEN 'STANDORT_24'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7" spans="1:19" x14ac:dyDescent="0.2">
      <c r="A337" s="4">
        <v>919</v>
      </c>
      <c r="B337" s="3">
        <v>1</v>
      </c>
      <c r="C337" s="3" t="s">
        <v>666</v>
      </c>
      <c r="D337" s="3" t="s">
        <v>667</v>
      </c>
      <c r="E337" s="3" t="s">
        <v>21</v>
      </c>
      <c r="F337" s="3" t="s">
        <v>668</v>
      </c>
      <c r="H337" s="3" t="s">
        <v>669</v>
      </c>
      <c r="I337" s="3" t="s">
        <v>21</v>
      </c>
      <c r="J337" s="3" t="s">
        <v>719</v>
      </c>
      <c r="K337" s="3" t="s">
        <v>720</v>
      </c>
      <c r="L337" s="3" t="s">
        <v>26</v>
      </c>
      <c r="M337" s="3" t="s">
        <v>672</v>
      </c>
      <c r="N337" s="3" t="s">
        <v>28</v>
      </c>
      <c r="S337" s="3" t="str">
        <f t="shared" si="5"/>
        <v>WITH ZDATA AS
(SELECT sta.UNIT_IDENTIFIER AS Value, 
'123' AS BusinessObjectKey, 
CASE WHEN ROWNUM=25 THEN 'STANDORT_25'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8" spans="1:19" x14ac:dyDescent="0.2">
      <c r="A338" s="4">
        <v>919</v>
      </c>
      <c r="B338" s="3">
        <v>1</v>
      </c>
      <c r="C338" s="3" t="s">
        <v>666</v>
      </c>
      <c r="D338" s="3" t="s">
        <v>667</v>
      </c>
      <c r="E338" s="3" t="s">
        <v>21</v>
      </c>
      <c r="F338" s="3" t="s">
        <v>668</v>
      </c>
      <c r="H338" s="3" t="s">
        <v>669</v>
      </c>
      <c r="I338" s="3" t="s">
        <v>21</v>
      </c>
      <c r="J338" s="3" t="s">
        <v>721</v>
      </c>
      <c r="K338" s="3" t="s">
        <v>722</v>
      </c>
      <c r="L338" s="3" t="s">
        <v>26</v>
      </c>
      <c r="M338" s="3" t="s">
        <v>672</v>
      </c>
      <c r="N338" s="3" t="s">
        <v>28</v>
      </c>
      <c r="S338" s="3" t="str">
        <f t="shared" si="5"/>
        <v>WITH ZDATA AS
(SELECT sta.UNIT_IDENTIFIER AS Value, 
'123' AS BusinessObjectKey, 
CASE WHEN ROWNUM=26 THEN 'STANDORT_26'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9" spans="1:19" x14ac:dyDescent="0.2">
      <c r="A339" s="4">
        <v>919</v>
      </c>
      <c r="B339" s="3">
        <v>1</v>
      </c>
      <c r="C339" s="3" t="s">
        <v>666</v>
      </c>
      <c r="D339" s="3" t="s">
        <v>667</v>
      </c>
      <c r="E339" s="3" t="s">
        <v>21</v>
      </c>
      <c r="F339" s="3" t="s">
        <v>668</v>
      </c>
      <c r="H339" s="3" t="s">
        <v>669</v>
      </c>
      <c r="I339" s="3" t="s">
        <v>21</v>
      </c>
      <c r="J339" s="3" t="s">
        <v>723</v>
      </c>
      <c r="K339" s="3" t="s">
        <v>724</v>
      </c>
      <c r="L339" s="3" t="s">
        <v>26</v>
      </c>
      <c r="M339" s="3" t="s">
        <v>672</v>
      </c>
      <c r="N339" s="3" t="s">
        <v>28</v>
      </c>
      <c r="S339" s="3" t="str">
        <f t="shared" si="5"/>
        <v>WITH ZDATA AS
(SELECT sta.UNIT_IDENTIFIER AS Value, 
'123' AS BusinessObjectKey, 
CASE WHEN ROWNUM=27 THEN 'STANDORT_27'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0" spans="1:19" x14ac:dyDescent="0.2">
      <c r="A340" s="4">
        <v>919</v>
      </c>
      <c r="B340" s="3">
        <v>1</v>
      </c>
      <c r="C340" s="3" t="s">
        <v>666</v>
      </c>
      <c r="D340" s="3" t="s">
        <v>667</v>
      </c>
      <c r="E340" s="3" t="s">
        <v>21</v>
      </c>
      <c r="F340" s="3" t="s">
        <v>668</v>
      </c>
      <c r="H340" s="3" t="s">
        <v>669</v>
      </c>
      <c r="I340" s="3" t="s">
        <v>21</v>
      </c>
      <c r="J340" s="3" t="s">
        <v>725</v>
      </c>
      <c r="K340" s="3" t="s">
        <v>726</v>
      </c>
      <c r="L340" s="3" t="s">
        <v>26</v>
      </c>
      <c r="M340" s="3" t="s">
        <v>672</v>
      </c>
      <c r="N340" s="3" t="s">
        <v>28</v>
      </c>
      <c r="S340" s="3" t="str">
        <f t="shared" si="5"/>
        <v>WITH ZDATA AS
(SELECT sta.UNIT_IDENTIFIER AS Value, 
'123' AS BusinessObjectKey, 
CASE WHEN ROWNUM=28 THEN 'STANDORT_28'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1" spans="1:19" x14ac:dyDescent="0.2">
      <c r="A341" s="4">
        <v>919</v>
      </c>
      <c r="B341" s="3">
        <v>1</v>
      </c>
      <c r="C341" s="3" t="s">
        <v>666</v>
      </c>
      <c r="D341" s="3" t="s">
        <v>667</v>
      </c>
      <c r="E341" s="3" t="s">
        <v>21</v>
      </c>
      <c r="F341" s="3" t="s">
        <v>668</v>
      </c>
      <c r="H341" s="3" t="s">
        <v>669</v>
      </c>
      <c r="I341" s="3" t="s">
        <v>21</v>
      </c>
      <c r="J341" s="3" t="s">
        <v>727</v>
      </c>
      <c r="K341" s="3" t="s">
        <v>728</v>
      </c>
      <c r="L341" s="3" t="s">
        <v>26</v>
      </c>
      <c r="M341" s="3" t="s">
        <v>672</v>
      </c>
      <c r="N341" s="3" t="s">
        <v>28</v>
      </c>
      <c r="S341" s="3" t="str">
        <f t="shared" si="5"/>
        <v>WITH ZDATA AS
(SELECT sta.UNIT_IDENTIFIER AS Value, 
'123' AS BusinessObjectKey, 
CASE WHEN ROWNUM=29 THEN 'STANDORT_29'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2" spans="1:19" x14ac:dyDescent="0.2">
      <c r="A342" s="4">
        <v>919</v>
      </c>
      <c r="B342" s="3">
        <v>1</v>
      </c>
      <c r="C342" s="3" t="s">
        <v>666</v>
      </c>
      <c r="D342" s="3" t="s">
        <v>667</v>
      </c>
      <c r="E342" s="3" t="s">
        <v>21</v>
      </c>
      <c r="F342" s="3" t="s">
        <v>668</v>
      </c>
      <c r="H342" s="3" t="s">
        <v>669</v>
      </c>
      <c r="I342" s="3" t="s">
        <v>21</v>
      </c>
      <c r="J342" s="3" t="s">
        <v>729</v>
      </c>
      <c r="K342" s="3" t="s">
        <v>730</v>
      </c>
      <c r="L342" s="3" t="s">
        <v>26</v>
      </c>
      <c r="M342" s="3" t="s">
        <v>672</v>
      </c>
      <c r="N342" s="3" t="s">
        <v>28</v>
      </c>
      <c r="S342" s="3" t="str">
        <f t="shared" si="5"/>
        <v>WITH ZDATA AS
(SELECT sta.UNIT_IDENTIFIER AS Value, 
'123' AS BusinessObjectKey, 
CASE WHEN ROWNUM=30 THEN 'STANDORT_30'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3" spans="1:19" x14ac:dyDescent="0.2">
      <c r="A343" s="4">
        <v>919</v>
      </c>
      <c r="B343" s="3">
        <v>2</v>
      </c>
      <c r="C343" s="3" t="s">
        <v>731</v>
      </c>
      <c r="D343" s="3" t="s">
        <v>732</v>
      </c>
      <c r="E343" s="3" t="s">
        <v>21</v>
      </c>
      <c r="F343" s="3" t="s">
        <v>733</v>
      </c>
      <c r="G343" s="3" t="s">
        <v>40</v>
      </c>
      <c r="I343" s="3" t="s">
        <v>41</v>
      </c>
      <c r="M343" s="3" t="s">
        <v>734</v>
      </c>
      <c r="N343" s="3" t="s">
        <v>43</v>
      </c>
      <c r="O343" s="3" t="s">
        <v>735</v>
      </c>
      <c r="Q343" s="3" t="s">
        <v>736</v>
      </c>
      <c r="S343" s="3" t="str">
        <f t="shared" si="5"/>
        <v>WITH ZDATA AS
(SELECT COUNT(adm.UV_FALL_ID) AS Value, 
'123' AS BusinessObjectKey, 
kfc.CHARACTERISTIC AS Characteristic
FROM BUR_0919 kfc
JOIN ADMINISTRATIVES adm ON kfc.VALUE=adm.UV_BURNR
GROUP BY kfc.BO_KEY,kfc.CHARACTERISTIC
) 
SELECT 'ANZ_0919' AS KeyFigureName,
'123456' AS ProcessingRunId, 
'12345' AS WaveId, 
Characteristic, BusinessObjectKey, 
Value AS Value 
FROM ZDATA 
ORDER BY BusinessObjectKey;</v>
      </c>
    </row>
    <row r="344" spans="1:19" x14ac:dyDescent="0.2">
      <c r="A344" s="4">
        <v>919</v>
      </c>
      <c r="B344" s="3">
        <v>3</v>
      </c>
      <c r="C344" s="3" t="s">
        <v>737</v>
      </c>
      <c r="D344" s="3" t="s">
        <v>738</v>
      </c>
      <c r="E344" s="3" t="s">
        <v>21</v>
      </c>
      <c r="F344" s="3" t="s">
        <v>39</v>
      </c>
      <c r="G344" s="3" t="s">
        <v>40</v>
      </c>
      <c r="I344" s="3" t="s">
        <v>41</v>
      </c>
      <c r="M344" s="3" t="s">
        <v>739</v>
      </c>
      <c r="N344" s="3" t="s">
        <v>43</v>
      </c>
      <c r="O344" s="3" t="s">
        <v>740</v>
      </c>
      <c r="S344" s="3" t="str">
        <f t="shared" si="5"/>
        <v>WITH ZDATA AS
(SELECT NVL(kfc.VALUE,0)-NVL(kfc2.VALUE,0) AS Value, 
'123' AS BusinessObjectKey, 
kfc.CHARACTERISTIC AS Characteristic
FROM ANZ_0919 kfc
JOIN BUR_0919 bur1 ON kfc.CHARACTERISTIC = bur1.CHARACTERISTIC JOIN PDP_BUR_0919 bur2 ON bur1.VALUE = bur2.VALUE JOIN PDP_ANZ_0919 kfc2 ON bur2.CHARACTERISTIC = kfc2.CHARACTERISTIC
) 
SELECT 'VGL_ABS_0919' AS KeyFigureName,
'123456' AS ProcessingRunId, 
'12345' AS WaveId, 
Characteristic, BusinessObjectKey, 
Value AS Value 
FROM ZDATA 
ORDER BY BusinessObjectKey;</v>
      </c>
    </row>
    <row r="345" spans="1:19" x14ac:dyDescent="0.2">
      <c r="A345" s="4">
        <v>919</v>
      </c>
      <c r="B345" s="3">
        <v>3</v>
      </c>
      <c r="C345" s="3" t="s">
        <v>741</v>
      </c>
      <c r="D345" s="3" t="s">
        <v>738</v>
      </c>
      <c r="E345" s="3" t="s">
        <v>21</v>
      </c>
      <c r="F345" s="3" t="s">
        <v>54</v>
      </c>
      <c r="G345" s="3" t="s">
        <v>40</v>
      </c>
      <c r="I345" s="3" t="s">
        <v>41</v>
      </c>
      <c r="M345" s="3" t="s">
        <v>739</v>
      </c>
      <c r="N345" s="3" t="s">
        <v>43</v>
      </c>
      <c r="O345" s="3" t="s">
        <v>740</v>
      </c>
      <c r="P345" s="3" t="s">
        <v>55</v>
      </c>
      <c r="S345" s="3" t="str">
        <f t="shared" si="5"/>
        <v>WITH ZDATA AS
(SELECT TRUNC((NVL(kfc.VALUE,0)-NVL(kfc2.VALUE,0)) / kfc2.VALUE,10) AS Value, 
'123' AS BusinessObjectKey, 
kfc.CHARACTERISTIC AS Characteristic
FROM ANZ_0919 kfc
JOIN BUR_0919 bur1 ON kfc.CHARACTERISTIC = bur1.CHARACTERISTIC JOIN PDP_BUR_0919 bur2 ON bur1.VALUE = bur2.VALUE JOIN PDP_ANZ_0919 kfc2 ON bur2.CHARACTERISTIC = kfc2.CHARACTERISTIC
WHERE kfc2.VALUE &lt;&gt; 0 AND kfc2.VALUE IS NOT NULL
) 
SELECT 'VGL_REL_0919' AS KeyFigureName,
'123456' AS ProcessingRunId, 
'12345' AS WaveId, 
Characteristic, BusinessObjectKey, 
Value AS Value 
FROM ZDATA 
ORDER BY BusinessObjectKey;</v>
      </c>
    </row>
    <row r="346" spans="1:19" x14ac:dyDescent="0.2">
      <c r="A346" s="4">
        <v>1044</v>
      </c>
      <c r="B346" s="3">
        <v>1</v>
      </c>
      <c r="C346" s="3" t="s">
        <v>742</v>
      </c>
      <c r="D346" s="3" t="s">
        <v>89</v>
      </c>
      <c r="E346" s="3" t="s">
        <v>21</v>
      </c>
      <c r="F346" s="3" t="s">
        <v>743</v>
      </c>
      <c r="H346" s="3" t="s">
        <v>23</v>
      </c>
      <c r="I346" s="3" t="s">
        <v>21</v>
      </c>
      <c r="J346" s="3" t="s">
        <v>744</v>
      </c>
      <c r="K346" s="3" t="s">
        <v>745</v>
      </c>
      <c r="L346" s="3" t="s">
        <v>26</v>
      </c>
      <c r="M346" s="3" t="s">
        <v>27</v>
      </c>
      <c r="N346" s="3" t="s">
        <v>28</v>
      </c>
      <c r="P346" s="3" t="s">
        <v>30</v>
      </c>
      <c r="S346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7" spans="1:19" x14ac:dyDescent="0.2">
      <c r="A347" s="4">
        <v>1044</v>
      </c>
      <c r="B347" s="3">
        <v>1</v>
      </c>
      <c r="C347" s="3" t="s">
        <v>742</v>
      </c>
      <c r="D347" s="3" t="s">
        <v>89</v>
      </c>
      <c r="E347" s="3" t="s">
        <v>21</v>
      </c>
      <c r="F347" s="3" t="s">
        <v>743</v>
      </c>
      <c r="H347" s="3" t="s">
        <v>23</v>
      </c>
      <c r="I347" s="3" t="s">
        <v>21</v>
      </c>
      <c r="J347" s="3" t="s">
        <v>746</v>
      </c>
      <c r="K347" s="3" t="s">
        <v>747</v>
      </c>
      <c r="L347" s="3" t="s">
        <v>26</v>
      </c>
      <c r="M347" s="3" t="s">
        <v>27</v>
      </c>
      <c r="N347" s="3" t="s">
        <v>28</v>
      </c>
      <c r="P347" s="3" t="s">
        <v>30</v>
      </c>
      <c r="S347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8" spans="1:19" x14ac:dyDescent="0.2">
      <c r="A348" s="4">
        <v>1044</v>
      </c>
      <c r="B348" s="3">
        <v>1</v>
      </c>
      <c r="C348" s="3" t="s">
        <v>742</v>
      </c>
      <c r="D348" s="3" t="s">
        <v>89</v>
      </c>
      <c r="E348" s="3" t="s">
        <v>21</v>
      </c>
      <c r="F348" s="3" t="s">
        <v>743</v>
      </c>
      <c r="H348" s="3" t="s">
        <v>23</v>
      </c>
      <c r="I348" s="3" t="s">
        <v>21</v>
      </c>
      <c r="J348" s="3" t="s">
        <v>748</v>
      </c>
      <c r="K348" s="3" t="s">
        <v>749</v>
      </c>
      <c r="L348" s="3" t="s">
        <v>26</v>
      </c>
      <c r="M348" s="3" t="s">
        <v>27</v>
      </c>
      <c r="N348" s="3" t="s">
        <v>28</v>
      </c>
      <c r="P348" s="3" t="s">
        <v>30</v>
      </c>
      <c r="S348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9" spans="1:19" x14ac:dyDescent="0.2">
      <c r="A349" s="4">
        <v>1044</v>
      </c>
      <c r="B349" s="3">
        <v>1</v>
      </c>
      <c r="C349" s="3" t="s">
        <v>742</v>
      </c>
      <c r="D349" s="3" t="s">
        <v>89</v>
      </c>
      <c r="E349" s="3" t="s">
        <v>21</v>
      </c>
      <c r="F349" s="3" t="s">
        <v>743</v>
      </c>
      <c r="H349" s="3" t="s">
        <v>23</v>
      </c>
      <c r="I349" s="3" t="s">
        <v>21</v>
      </c>
      <c r="J349" s="3" t="s">
        <v>750</v>
      </c>
      <c r="K349" s="3" t="s">
        <v>751</v>
      </c>
      <c r="L349" s="3" t="s">
        <v>26</v>
      </c>
      <c r="M349" s="3" t="s">
        <v>27</v>
      </c>
      <c r="N349" s="3" t="s">
        <v>28</v>
      </c>
      <c r="P349" s="3" t="s">
        <v>30</v>
      </c>
      <c r="S349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0" spans="1:19" x14ac:dyDescent="0.2">
      <c r="A350" s="4">
        <v>1044</v>
      </c>
      <c r="B350" s="3">
        <v>1</v>
      </c>
      <c r="C350" s="3" t="s">
        <v>742</v>
      </c>
      <c r="D350" s="3" t="s">
        <v>89</v>
      </c>
      <c r="E350" s="3" t="s">
        <v>21</v>
      </c>
      <c r="F350" s="3" t="s">
        <v>743</v>
      </c>
      <c r="H350" s="3" t="s">
        <v>23</v>
      </c>
      <c r="I350" s="3" t="s">
        <v>21</v>
      </c>
      <c r="J350" s="3" t="s">
        <v>752</v>
      </c>
      <c r="K350" s="3" t="s">
        <v>753</v>
      </c>
      <c r="L350" s="3" t="s">
        <v>26</v>
      </c>
      <c r="M350" s="3" t="s">
        <v>27</v>
      </c>
      <c r="N350" s="3" t="s">
        <v>28</v>
      </c>
      <c r="P350" s="3" t="s">
        <v>30</v>
      </c>
      <c r="S350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1" spans="1:19" x14ac:dyDescent="0.2">
      <c r="A351" s="4">
        <v>1044</v>
      </c>
      <c r="B351" s="3">
        <v>1</v>
      </c>
      <c r="C351" s="3" t="s">
        <v>742</v>
      </c>
      <c r="D351" s="3" t="s">
        <v>89</v>
      </c>
      <c r="E351" s="3" t="s">
        <v>21</v>
      </c>
      <c r="F351" s="3" t="s">
        <v>743</v>
      </c>
      <c r="H351" s="3" t="s">
        <v>23</v>
      </c>
      <c r="I351" s="3" t="s">
        <v>21</v>
      </c>
      <c r="J351" s="3" t="s">
        <v>754</v>
      </c>
      <c r="K351" s="3" t="s">
        <v>755</v>
      </c>
      <c r="L351" s="3" t="s">
        <v>26</v>
      </c>
      <c r="M351" s="3" t="s">
        <v>27</v>
      </c>
      <c r="N351" s="3" t="s">
        <v>28</v>
      </c>
      <c r="P351" s="3" t="s">
        <v>30</v>
      </c>
      <c r="S351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2" spans="1:19" x14ac:dyDescent="0.2">
      <c r="A352" s="4">
        <v>1044</v>
      </c>
      <c r="B352" s="3">
        <v>1</v>
      </c>
      <c r="C352" s="3" t="s">
        <v>742</v>
      </c>
      <c r="D352" s="3" t="s">
        <v>89</v>
      </c>
      <c r="E352" s="3" t="s">
        <v>21</v>
      </c>
      <c r="F352" s="3" t="s">
        <v>743</v>
      </c>
      <c r="H352" s="3" t="s">
        <v>23</v>
      </c>
      <c r="I352" s="3" t="s">
        <v>21</v>
      </c>
      <c r="J352" s="3" t="s">
        <v>756</v>
      </c>
      <c r="K352" s="3" t="s">
        <v>757</v>
      </c>
      <c r="L352" s="3" t="s">
        <v>26</v>
      </c>
      <c r="M352" s="3" t="s">
        <v>27</v>
      </c>
      <c r="N352" s="3" t="s">
        <v>28</v>
      </c>
      <c r="P352" s="3" t="s">
        <v>30</v>
      </c>
      <c r="S352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3" spans="1:19" x14ac:dyDescent="0.2">
      <c r="A353" s="4">
        <v>1044</v>
      </c>
      <c r="B353" s="3">
        <v>1</v>
      </c>
      <c r="C353" s="3" t="s">
        <v>742</v>
      </c>
      <c r="D353" s="3" t="s">
        <v>89</v>
      </c>
      <c r="E353" s="3" t="s">
        <v>21</v>
      </c>
      <c r="F353" s="3" t="s">
        <v>743</v>
      </c>
      <c r="H353" s="3" t="s">
        <v>23</v>
      </c>
      <c r="I353" s="3" t="s">
        <v>21</v>
      </c>
      <c r="J353" s="3" t="s">
        <v>758</v>
      </c>
      <c r="K353" s="3" t="s">
        <v>759</v>
      </c>
      <c r="L353" s="3" t="s">
        <v>26</v>
      </c>
      <c r="M353" s="3" t="s">
        <v>27</v>
      </c>
      <c r="N353" s="3" t="s">
        <v>28</v>
      </c>
      <c r="P353" s="3" t="s">
        <v>30</v>
      </c>
      <c r="S353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4" spans="1:19" x14ac:dyDescent="0.2">
      <c r="A354" s="4">
        <v>1044</v>
      </c>
      <c r="B354" s="3">
        <v>1</v>
      </c>
      <c r="C354" s="3" t="s">
        <v>742</v>
      </c>
      <c r="D354" s="3" t="s">
        <v>89</v>
      </c>
      <c r="E354" s="3" t="s">
        <v>21</v>
      </c>
      <c r="F354" s="3" t="s">
        <v>743</v>
      </c>
      <c r="H354" s="3" t="s">
        <v>23</v>
      </c>
      <c r="I354" s="3" t="s">
        <v>21</v>
      </c>
      <c r="J354" s="3" t="s">
        <v>760</v>
      </c>
      <c r="K354" s="3" t="s">
        <v>761</v>
      </c>
      <c r="L354" s="3" t="s">
        <v>26</v>
      </c>
      <c r="M354" s="3" t="s">
        <v>27</v>
      </c>
      <c r="N354" s="3" t="s">
        <v>28</v>
      </c>
      <c r="P354" s="3" t="s">
        <v>30</v>
      </c>
      <c r="S354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5" spans="1:19" x14ac:dyDescent="0.2">
      <c r="A355" s="4">
        <v>1044</v>
      </c>
      <c r="B355" s="3">
        <v>1</v>
      </c>
      <c r="C355" s="3" t="s">
        <v>742</v>
      </c>
      <c r="D355" s="3" t="s">
        <v>89</v>
      </c>
      <c r="E355" s="3" t="s">
        <v>21</v>
      </c>
      <c r="F355" s="3" t="s">
        <v>743</v>
      </c>
      <c r="H355" s="3" t="s">
        <v>23</v>
      </c>
      <c r="I355" s="3" t="s">
        <v>21</v>
      </c>
      <c r="J355" s="3" t="s">
        <v>762</v>
      </c>
      <c r="K355" s="3" t="s">
        <v>763</v>
      </c>
      <c r="L355" s="3" t="s">
        <v>26</v>
      </c>
      <c r="M355" s="3" t="s">
        <v>27</v>
      </c>
      <c r="N355" s="3" t="s">
        <v>28</v>
      </c>
      <c r="P355" s="3" t="s">
        <v>30</v>
      </c>
      <c r="S355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6" spans="1:19" x14ac:dyDescent="0.2">
      <c r="A356" s="4">
        <v>1044</v>
      </c>
      <c r="B356" s="3">
        <v>1</v>
      </c>
      <c r="C356" s="3" t="s">
        <v>742</v>
      </c>
      <c r="D356" s="3" t="s">
        <v>89</v>
      </c>
      <c r="E356" s="3" t="s">
        <v>21</v>
      </c>
      <c r="F356" s="3" t="s">
        <v>743</v>
      </c>
      <c r="H356" s="3" t="s">
        <v>23</v>
      </c>
      <c r="I356" s="3" t="s">
        <v>21</v>
      </c>
      <c r="J356" s="3" t="s">
        <v>764</v>
      </c>
      <c r="K356" s="3" t="s">
        <v>765</v>
      </c>
      <c r="L356" s="3" t="s">
        <v>26</v>
      </c>
      <c r="M356" s="3" t="s">
        <v>27</v>
      </c>
      <c r="N356" s="3" t="s">
        <v>28</v>
      </c>
      <c r="P356" s="3" t="s">
        <v>30</v>
      </c>
      <c r="S356" s="3" t="str">
        <f t="shared" si="5"/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7" spans="1:19" x14ac:dyDescent="0.2">
      <c r="A357" s="4">
        <v>1044</v>
      </c>
      <c r="B357" s="3">
        <v>1</v>
      </c>
      <c r="C357" s="3" t="s">
        <v>742</v>
      </c>
      <c r="D357" s="3" t="s">
        <v>89</v>
      </c>
      <c r="E357" s="3" t="s">
        <v>21</v>
      </c>
      <c r="F357" s="3" t="s">
        <v>743</v>
      </c>
      <c r="H357" s="3" t="s">
        <v>23</v>
      </c>
      <c r="I357" s="3" t="s">
        <v>21</v>
      </c>
      <c r="J357" s="3" t="s">
        <v>766</v>
      </c>
      <c r="K357" s="3" t="s">
        <v>767</v>
      </c>
      <c r="L357" s="3" t="s">
        <v>26</v>
      </c>
      <c r="M357" s="3" t="s">
        <v>27</v>
      </c>
      <c r="N357" s="3" t="s">
        <v>28</v>
      </c>
      <c r="P357" s="3" t="s">
        <v>30</v>
      </c>
      <c r="S357" s="3" t="str">
        <f t="shared" si="5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8" spans="1:19" x14ac:dyDescent="0.2">
      <c r="A358" s="4">
        <v>1044</v>
      </c>
      <c r="B358" s="3">
        <v>1</v>
      </c>
      <c r="C358" s="3" t="s">
        <v>742</v>
      </c>
      <c r="D358" s="3" t="s">
        <v>89</v>
      </c>
      <c r="E358" s="3" t="s">
        <v>21</v>
      </c>
      <c r="F358" s="3" t="s">
        <v>743</v>
      </c>
      <c r="H358" s="3" t="s">
        <v>23</v>
      </c>
      <c r="I358" s="3" t="s">
        <v>21</v>
      </c>
      <c r="J358" s="3" t="s">
        <v>768</v>
      </c>
      <c r="K358" s="3" t="s">
        <v>769</v>
      </c>
      <c r="L358" s="3" t="s">
        <v>26</v>
      </c>
      <c r="M358" s="3" t="s">
        <v>27</v>
      </c>
      <c r="N358" s="3" t="s">
        <v>28</v>
      </c>
      <c r="P358" s="3" t="s">
        <v>30</v>
      </c>
      <c r="S358" s="3" t="str">
        <f t="shared" si="5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9" spans="1:19" x14ac:dyDescent="0.2">
      <c r="A359" s="4">
        <v>1044</v>
      </c>
      <c r="B359" s="3">
        <v>1</v>
      </c>
      <c r="C359" s="3" t="s">
        <v>742</v>
      </c>
      <c r="D359" s="3" t="s">
        <v>89</v>
      </c>
      <c r="E359" s="3" t="s">
        <v>21</v>
      </c>
      <c r="F359" s="3" t="s">
        <v>743</v>
      </c>
      <c r="H359" s="3" t="s">
        <v>23</v>
      </c>
      <c r="I359" s="3" t="s">
        <v>21</v>
      </c>
      <c r="J359" s="3" t="s">
        <v>770</v>
      </c>
      <c r="K359" s="3" t="s">
        <v>771</v>
      </c>
      <c r="L359" s="3" t="s">
        <v>26</v>
      </c>
      <c r="M359" s="3" t="s">
        <v>27</v>
      </c>
      <c r="N359" s="3" t="s">
        <v>28</v>
      </c>
      <c r="P359" s="3" t="s">
        <v>30</v>
      </c>
      <c r="S359" s="3" t="str">
        <f t="shared" si="5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0" spans="1:19" x14ac:dyDescent="0.2">
      <c r="A360" s="4">
        <v>1044</v>
      </c>
      <c r="B360" s="3">
        <v>1</v>
      </c>
      <c r="C360" s="3" t="s">
        <v>742</v>
      </c>
      <c r="D360" s="3" t="s">
        <v>89</v>
      </c>
      <c r="E360" s="3" t="s">
        <v>21</v>
      </c>
      <c r="F360" s="3" t="s">
        <v>743</v>
      </c>
      <c r="H360" s="3" t="s">
        <v>23</v>
      </c>
      <c r="I360" s="3" t="s">
        <v>21</v>
      </c>
      <c r="J360" s="3" t="s">
        <v>772</v>
      </c>
      <c r="K360" s="3" t="s">
        <v>773</v>
      </c>
      <c r="L360" s="3" t="s">
        <v>26</v>
      </c>
      <c r="M360" s="3" t="s">
        <v>27</v>
      </c>
      <c r="N360" s="3" t="s">
        <v>28</v>
      </c>
      <c r="P360" s="3" t="s">
        <v>30</v>
      </c>
      <c r="S360" s="3" t="str">
        <f t="shared" si="5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1" spans="1:19" x14ac:dyDescent="0.2">
      <c r="A361" s="4">
        <v>1044</v>
      </c>
      <c r="B361" s="3">
        <v>1</v>
      </c>
      <c r="C361" s="3" t="s">
        <v>742</v>
      </c>
      <c r="D361" s="3" t="s">
        <v>89</v>
      </c>
      <c r="E361" s="3" t="s">
        <v>21</v>
      </c>
      <c r="F361" s="3" t="s">
        <v>743</v>
      </c>
      <c r="H361" s="3" t="s">
        <v>23</v>
      </c>
      <c r="I361" s="3" t="s">
        <v>21</v>
      </c>
      <c r="J361" s="3" t="s">
        <v>774</v>
      </c>
      <c r="K361" s="3" t="s">
        <v>775</v>
      </c>
      <c r="L361" s="3" t="s">
        <v>26</v>
      </c>
      <c r="M361" s="3" t="s">
        <v>27</v>
      </c>
      <c r="N361" s="3" t="s">
        <v>28</v>
      </c>
      <c r="P361" s="3" t="s">
        <v>30</v>
      </c>
      <c r="S361" s="3" t="str">
        <f t="shared" si="5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2" spans="1:19" x14ac:dyDescent="0.2">
      <c r="A362" s="4">
        <v>1044</v>
      </c>
      <c r="B362" s="3">
        <v>1</v>
      </c>
      <c r="C362" s="3" t="s">
        <v>776</v>
      </c>
      <c r="D362" s="3" t="s">
        <v>89</v>
      </c>
      <c r="E362" s="3" t="s">
        <v>21</v>
      </c>
      <c r="F362" s="3" t="s">
        <v>743</v>
      </c>
      <c r="H362" s="3" t="s">
        <v>23</v>
      </c>
      <c r="I362" s="3" t="s">
        <v>21</v>
      </c>
      <c r="J362" s="3" t="s">
        <v>744</v>
      </c>
      <c r="K362" s="3" t="s">
        <v>745</v>
      </c>
      <c r="L362" s="3" t="s">
        <v>26</v>
      </c>
      <c r="M362" s="3" t="s">
        <v>27</v>
      </c>
      <c r="N362" s="3" t="s">
        <v>28</v>
      </c>
      <c r="P362" s="3" t="s">
        <v>33</v>
      </c>
      <c r="S362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3" spans="1:19" x14ac:dyDescent="0.2">
      <c r="A363" s="4">
        <v>1044</v>
      </c>
      <c r="B363" s="3">
        <v>1</v>
      </c>
      <c r="C363" s="3" t="s">
        <v>776</v>
      </c>
      <c r="D363" s="3" t="s">
        <v>89</v>
      </c>
      <c r="E363" s="3" t="s">
        <v>21</v>
      </c>
      <c r="F363" s="3" t="s">
        <v>743</v>
      </c>
      <c r="H363" s="3" t="s">
        <v>23</v>
      </c>
      <c r="I363" s="3" t="s">
        <v>21</v>
      </c>
      <c r="J363" s="3" t="s">
        <v>746</v>
      </c>
      <c r="K363" s="3" t="s">
        <v>747</v>
      </c>
      <c r="L363" s="3" t="s">
        <v>26</v>
      </c>
      <c r="M363" s="3" t="s">
        <v>27</v>
      </c>
      <c r="N363" s="3" t="s">
        <v>28</v>
      </c>
      <c r="P363" s="3" t="s">
        <v>33</v>
      </c>
      <c r="S363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4" spans="1:19" x14ac:dyDescent="0.2">
      <c r="A364" s="4">
        <v>1044</v>
      </c>
      <c r="B364" s="3">
        <v>1</v>
      </c>
      <c r="C364" s="3" t="s">
        <v>776</v>
      </c>
      <c r="D364" s="3" t="s">
        <v>89</v>
      </c>
      <c r="E364" s="3" t="s">
        <v>21</v>
      </c>
      <c r="F364" s="3" t="s">
        <v>743</v>
      </c>
      <c r="H364" s="3" t="s">
        <v>23</v>
      </c>
      <c r="I364" s="3" t="s">
        <v>21</v>
      </c>
      <c r="J364" s="3" t="s">
        <v>748</v>
      </c>
      <c r="K364" s="3" t="s">
        <v>749</v>
      </c>
      <c r="L364" s="3" t="s">
        <v>26</v>
      </c>
      <c r="M364" s="3" t="s">
        <v>27</v>
      </c>
      <c r="N364" s="3" t="s">
        <v>28</v>
      </c>
      <c r="P364" s="3" t="s">
        <v>33</v>
      </c>
      <c r="S364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5" spans="1:19" x14ac:dyDescent="0.2">
      <c r="A365" s="4">
        <v>1044</v>
      </c>
      <c r="B365" s="3">
        <v>1</v>
      </c>
      <c r="C365" s="3" t="s">
        <v>776</v>
      </c>
      <c r="D365" s="3" t="s">
        <v>89</v>
      </c>
      <c r="E365" s="3" t="s">
        <v>21</v>
      </c>
      <c r="F365" s="3" t="s">
        <v>743</v>
      </c>
      <c r="H365" s="3" t="s">
        <v>23</v>
      </c>
      <c r="I365" s="3" t="s">
        <v>21</v>
      </c>
      <c r="J365" s="3" t="s">
        <v>750</v>
      </c>
      <c r="K365" s="3" t="s">
        <v>751</v>
      </c>
      <c r="L365" s="3" t="s">
        <v>26</v>
      </c>
      <c r="M365" s="3" t="s">
        <v>27</v>
      </c>
      <c r="N365" s="3" t="s">
        <v>28</v>
      </c>
      <c r="P365" s="3" t="s">
        <v>33</v>
      </c>
      <c r="S365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6" spans="1:19" x14ac:dyDescent="0.2">
      <c r="A366" s="4">
        <v>1044</v>
      </c>
      <c r="B366" s="3">
        <v>1</v>
      </c>
      <c r="C366" s="3" t="s">
        <v>776</v>
      </c>
      <c r="D366" s="3" t="s">
        <v>89</v>
      </c>
      <c r="E366" s="3" t="s">
        <v>21</v>
      </c>
      <c r="F366" s="3" t="s">
        <v>743</v>
      </c>
      <c r="H366" s="3" t="s">
        <v>23</v>
      </c>
      <c r="I366" s="3" t="s">
        <v>21</v>
      </c>
      <c r="J366" s="3" t="s">
        <v>752</v>
      </c>
      <c r="K366" s="3" t="s">
        <v>753</v>
      </c>
      <c r="L366" s="3" t="s">
        <v>26</v>
      </c>
      <c r="M366" s="3" t="s">
        <v>27</v>
      </c>
      <c r="N366" s="3" t="s">
        <v>28</v>
      </c>
      <c r="P366" s="3" t="s">
        <v>33</v>
      </c>
      <c r="S366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7" spans="1:19" x14ac:dyDescent="0.2">
      <c r="A367" s="4">
        <v>1044</v>
      </c>
      <c r="B367" s="3">
        <v>1</v>
      </c>
      <c r="C367" s="3" t="s">
        <v>776</v>
      </c>
      <c r="D367" s="3" t="s">
        <v>89</v>
      </c>
      <c r="E367" s="3" t="s">
        <v>21</v>
      </c>
      <c r="F367" s="3" t="s">
        <v>743</v>
      </c>
      <c r="H367" s="3" t="s">
        <v>23</v>
      </c>
      <c r="I367" s="3" t="s">
        <v>21</v>
      </c>
      <c r="J367" s="3" t="s">
        <v>754</v>
      </c>
      <c r="K367" s="3" t="s">
        <v>755</v>
      </c>
      <c r="L367" s="3" t="s">
        <v>26</v>
      </c>
      <c r="M367" s="3" t="s">
        <v>27</v>
      </c>
      <c r="N367" s="3" t="s">
        <v>28</v>
      </c>
      <c r="P367" s="3" t="s">
        <v>33</v>
      </c>
      <c r="S367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8" spans="1:19" x14ac:dyDescent="0.2">
      <c r="A368" s="4">
        <v>1044</v>
      </c>
      <c r="B368" s="3">
        <v>1</v>
      </c>
      <c r="C368" s="3" t="s">
        <v>776</v>
      </c>
      <c r="D368" s="3" t="s">
        <v>89</v>
      </c>
      <c r="E368" s="3" t="s">
        <v>21</v>
      </c>
      <c r="F368" s="3" t="s">
        <v>743</v>
      </c>
      <c r="H368" s="3" t="s">
        <v>23</v>
      </c>
      <c r="I368" s="3" t="s">
        <v>21</v>
      </c>
      <c r="J368" s="3" t="s">
        <v>756</v>
      </c>
      <c r="K368" s="3" t="s">
        <v>757</v>
      </c>
      <c r="L368" s="3" t="s">
        <v>26</v>
      </c>
      <c r="M368" s="3" t="s">
        <v>27</v>
      </c>
      <c r="N368" s="3" t="s">
        <v>28</v>
      </c>
      <c r="P368" s="3" t="s">
        <v>33</v>
      </c>
      <c r="S368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9" spans="1:19" x14ac:dyDescent="0.2">
      <c r="A369" s="4">
        <v>1044</v>
      </c>
      <c r="B369" s="3">
        <v>1</v>
      </c>
      <c r="C369" s="3" t="s">
        <v>776</v>
      </c>
      <c r="D369" s="3" t="s">
        <v>89</v>
      </c>
      <c r="E369" s="3" t="s">
        <v>21</v>
      </c>
      <c r="F369" s="3" t="s">
        <v>743</v>
      </c>
      <c r="H369" s="3" t="s">
        <v>23</v>
      </c>
      <c r="I369" s="3" t="s">
        <v>21</v>
      </c>
      <c r="J369" s="3" t="s">
        <v>758</v>
      </c>
      <c r="K369" s="3" t="s">
        <v>759</v>
      </c>
      <c r="L369" s="3" t="s">
        <v>26</v>
      </c>
      <c r="M369" s="3" t="s">
        <v>27</v>
      </c>
      <c r="N369" s="3" t="s">
        <v>28</v>
      </c>
      <c r="P369" s="3" t="s">
        <v>33</v>
      </c>
      <c r="S369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0" spans="1:19" x14ac:dyDescent="0.2">
      <c r="A370" s="4">
        <v>1044</v>
      </c>
      <c r="B370" s="3">
        <v>1</v>
      </c>
      <c r="C370" s="3" t="s">
        <v>776</v>
      </c>
      <c r="D370" s="3" t="s">
        <v>89</v>
      </c>
      <c r="E370" s="3" t="s">
        <v>21</v>
      </c>
      <c r="F370" s="3" t="s">
        <v>743</v>
      </c>
      <c r="H370" s="3" t="s">
        <v>23</v>
      </c>
      <c r="I370" s="3" t="s">
        <v>21</v>
      </c>
      <c r="J370" s="3" t="s">
        <v>760</v>
      </c>
      <c r="K370" s="3" t="s">
        <v>761</v>
      </c>
      <c r="L370" s="3" t="s">
        <v>26</v>
      </c>
      <c r="M370" s="3" t="s">
        <v>27</v>
      </c>
      <c r="N370" s="3" t="s">
        <v>28</v>
      </c>
      <c r="P370" s="3" t="s">
        <v>33</v>
      </c>
      <c r="S370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1" spans="1:19" x14ac:dyDescent="0.2">
      <c r="A371" s="4">
        <v>1044</v>
      </c>
      <c r="B371" s="3">
        <v>1</v>
      </c>
      <c r="C371" s="3" t="s">
        <v>776</v>
      </c>
      <c r="D371" s="3" t="s">
        <v>89</v>
      </c>
      <c r="E371" s="3" t="s">
        <v>21</v>
      </c>
      <c r="F371" s="3" t="s">
        <v>743</v>
      </c>
      <c r="H371" s="3" t="s">
        <v>23</v>
      </c>
      <c r="I371" s="3" t="s">
        <v>21</v>
      </c>
      <c r="J371" s="3" t="s">
        <v>762</v>
      </c>
      <c r="K371" s="3" t="s">
        <v>763</v>
      </c>
      <c r="L371" s="3" t="s">
        <v>26</v>
      </c>
      <c r="M371" s="3" t="s">
        <v>27</v>
      </c>
      <c r="N371" s="3" t="s">
        <v>28</v>
      </c>
      <c r="P371" s="3" t="s">
        <v>33</v>
      </c>
      <c r="S371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2" spans="1:19" x14ac:dyDescent="0.2">
      <c r="A372" s="4">
        <v>1044</v>
      </c>
      <c r="B372" s="3">
        <v>1</v>
      </c>
      <c r="C372" s="3" t="s">
        <v>776</v>
      </c>
      <c r="D372" s="3" t="s">
        <v>89</v>
      </c>
      <c r="E372" s="3" t="s">
        <v>21</v>
      </c>
      <c r="F372" s="3" t="s">
        <v>743</v>
      </c>
      <c r="H372" s="3" t="s">
        <v>23</v>
      </c>
      <c r="I372" s="3" t="s">
        <v>21</v>
      </c>
      <c r="J372" s="3" t="s">
        <v>764</v>
      </c>
      <c r="K372" s="3" t="s">
        <v>765</v>
      </c>
      <c r="L372" s="3" t="s">
        <v>26</v>
      </c>
      <c r="M372" s="3" t="s">
        <v>27</v>
      </c>
      <c r="N372" s="3" t="s">
        <v>28</v>
      </c>
      <c r="P372" s="3" t="s">
        <v>33</v>
      </c>
      <c r="S372" s="3" t="str">
        <f t="shared" si="5"/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3" spans="1:19" x14ac:dyDescent="0.2">
      <c r="A373" s="4">
        <v>1044</v>
      </c>
      <c r="B373" s="3">
        <v>1</v>
      </c>
      <c r="C373" s="3" t="s">
        <v>776</v>
      </c>
      <c r="D373" s="3" t="s">
        <v>89</v>
      </c>
      <c r="E373" s="3" t="s">
        <v>21</v>
      </c>
      <c r="F373" s="3" t="s">
        <v>743</v>
      </c>
      <c r="H373" s="3" t="s">
        <v>23</v>
      </c>
      <c r="I373" s="3" t="s">
        <v>21</v>
      </c>
      <c r="J373" s="3" t="s">
        <v>766</v>
      </c>
      <c r="K373" s="3" t="s">
        <v>767</v>
      </c>
      <c r="L373" s="3" t="s">
        <v>26</v>
      </c>
      <c r="M373" s="3" t="s">
        <v>27</v>
      </c>
      <c r="N373" s="3" t="s">
        <v>28</v>
      </c>
      <c r="P373" s="3" t="s">
        <v>33</v>
      </c>
      <c r="S373" s="3" t="str">
        <f t="shared" si="5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4" spans="1:19" x14ac:dyDescent="0.2">
      <c r="A374" s="4">
        <v>1044</v>
      </c>
      <c r="B374" s="3">
        <v>1</v>
      </c>
      <c r="C374" s="3" t="s">
        <v>776</v>
      </c>
      <c r="D374" s="3" t="s">
        <v>89</v>
      </c>
      <c r="E374" s="3" t="s">
        <v>21</v>
      </c>
      <c r="F374" s="3" t="s">
        <v>743</v>
      </c>
      <c r="H374" s="3" t="s">
        <v>23</v>
      </c>
      <c r="I374" s="3" t="s">
        <v>21</v>
      </c>
      <c r="J374" s="3" t="s">
        <v>768</v>
      </c>
      <c r="K374" s="3" t="s">
        <v>769</v>
      </c>
      <c r="L374" s="3" t="s">
        <v>26</v>
      </c>
      <c r="M374" s="3" t="s">
        <v>27</v>
      </c>
      <c r="N374" s="3" t="s">
        <v>28</v>
      </c>
      <c r="P374" s="3" t="s">
        <v>33</v>
      </c>
      <c r="S374" s="3" t="str">
        <f t="shared" si="5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5" spans="1:19" x14ac:dyDescent="0.2">
      <c r="A375" s="4">
        <v>1044</v>
      </c>
      <c r="B375" s="3">
        <v>1</v>
      </c>
      <c r="C375" s="3" t="s">
        <v>776</v>
      </c>
      <c r="D375" s="3" t="s">
        <v>89</v>
      </c>
      <c r="E375" s="3" t="s">
        <v>21</v>
      </c>
      <c r="F375" s="3" t="s">
        <v>743</v>
      </c>
      <c r="H375" s="3" t="s">
        <v>23</v>
      </c>
      <c r="I375" s="3" t="s">
        <v>21</v>
      </c>
      <c r="J375" s="3" t="s">
        <v>770</v>
      </c>
      <c r="K375" s="3" t="s">
        <v>771</v>
      </c>
      <c r="L375" s="3" t="s">
        <v>26</v>
      </c>
      <c r="M375" s="3" t="s">
        <v>27</v>
      </c>
      <c r="N375" s="3" t="s">
        <v>28</v>
      </c>
      <c r="P375" s="3" t="s">
        <v>33</v>
      </c>
      <c r="S375" s="3" t="str">
        <f t="shared" si="5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6" spans="1:19" x14ac:dyDescent="0.2">
      <c r="A376" s="4">
        <v>1044</v>
      </c>
      <c r="B376" s="3">
        <v>1</v>
      </c>
      <c r="C376" s="3" t="s">
        <v>776</v>
      </c>
      <c r="D376" s="3" t="s">
        <v>89</v>
      </c>
      <c r="E376" s="3" t="s">
        <v>21</v>
      </c>
      <c r="F376" s="3" t="s">
        <v>743</v>
      </c>
      <c r="H376" s="3" t="s">
        <v>23</v>
      </c>
      <c r="I376" s="3" t="s">
        <v>21</v>
      </c>
      <c r="J376" s="3" t="s">
        <v>772</v>
      </c>
      <c r="K376" s="3" t="s">
        <v>773</v>
      </c>
      <c r="L376" s="3" t="s">
        <v>26</v>
      </c>
      <c r="M376" s="3" t="s">
        <v>27</v>
      </c>
      <c r="N376" s="3" t="s">
        <v>28</v>
      </c>
      <c r="P376" s="3" t="s">
        <v>33</v>
      </c>
      <c r="S376" s="3" t="str">
        <f t="shared" si="5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7" spans="1:19" x14ac:dyDescent="0.2">
      <c r="A377" s="4">
        <v>1044</v>
      </c>
      <c r="B377" s="3">
        <v>1</v>
      </c>
      <c r="C377" s="3" t="s">
        <v>776</v>
      </c>
      <c r="D377" s="3" t="s">
        <v>89</v>
      </c>
      <c r="E377" s="3" t="s">
        <v>21</v>
      </c>
      <c r="F377" s="3" t="s">
        <v>743</v>
      </c>
      <c r="H377" s="3" t="s">
        <v>23</v>
      </c>
      <c r="I377" s="3" t="s">
        <v>21</v>
      </c>
      <c r="J377" s="3" t="s">
        <v>774</v>
      </c>
      <c r="K377" s="3" t="s">
        <v>775</v>
      </c>
      <c r="L377" s="3" t="s">
        <v>26</v>
      </c>
      <c r="M377" s="3" t="s">
        <v>27</v>
      </c>
      <c r="N377" s="3" t="s">
        <v>28</v>
      </c>
      <c r="P377" s="3" t="s">
        <v>33</v>
      </c>
      <c r="S377" s="3" t="str">
        <f t="shared" si="5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8" spans="1:19" x14ac:dyDescent="0.2">
      <c r="A378" s="4">
        <v>1044</v>
      </c>
      <c r="B378" s="3">
        <v>1</v>
      </c>
      <c r="C378" s="3" t="s">
        <v>777</v>
      </c>
      <c r="D378" s="3" t="s">
        <v>89</v>
      </c>
      <c r="E378" s="3" t="s">
        <v>21</v>
      </c>
      <c r="F378" s="3" t="s">
        <v>743</v>
      </c>
      <c r="H378" s="3" t="s">
        <v>23</v>
      </c>
      <c r="I378" s="3" t="s">
        <v>21</v>
      </c>
      <c r="J378" s="3" t="s">
        <v>744</v>
      </c>
      <c r="K378" s="3" t="s">
        <v>745</v>
      </c>
      <c r="L378" s="3" t="s">
        <v>26</v>
      </c>
      <c r="M378" s="3" t="s">
        <v>27</v>
      </c>
      <c r="N378" s="3" t="s">
        <v>28</v>
      </c>
      <c r="P378" s="3" t="s">
        <v>36</v>
      </c>
      <c r="S378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79" spans="1:19" x14ac:dyDescent="0.2">
      <c r="A379" s="4">
        <v>1044</v>
      </c>
      <c r="B379" s="3">
        <v>1</v>
      </c>
      <c r="C379" s="3" t="s">
        <v>777</v>
      </c>
      <c r="D379" s="3" t="s">
        <v>89</v>
      </c>
      <c r="E379" s="3" t="s">
        <v>21</v>
      </c>
      <c r="F379" s="3" t="s">
        <v>743</v>
      </c>
      <c r="H379" s="3" t="s">
        <v>23</v>
      </c>
      <c r="I379" s="3" t="s">
        <v>21</v>
      </c>
      <c r="J379" s="3" t="s">
        <v>746</v>
      </c>
      <c r="K379" s="3" t="s">
        <v>747</v>
      </c>
      <c r="L379" s="3" t="s">
        <v>26</v>
      </c>
      <c r="M379" s="3" t="s">
        <v>27</v>
      </c>
      <c r="N379" s="3" t="s">
        <v>28</v>
      </c>
      <c r="P379" s="3" t="s">
        <v>36</v>
      </c>
      <c r="S379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0" spans="1:19" x14ac:dyDescent="0.2">
      <c r="A380" s="4">
        <v>1044</v>
      </c>
      <c r="B380" s="3">
        <v>1</v>
      </c>
      <c r="C380" s="3" t="s">
        <v>777</v>
      </c>
      <c r="D380" s="3" t="s">
        <v>89</v>
      </c>
      <c r="E380" s="3" t="s">
        <v>21</v>
      </c>
      <c r="F380" s="3" t="s">
        <v>743</v>
      </c>
      <c r="H380" s="3" t="s">
        <v>23</v>
      </c>
      <c r="I380" s="3" t="s">
        <v>21</v>
      </c>
      <c r="J380" s="3" t="s">
        <v>748</v>
      </c>
      <c r="K380" s="3" t="s">
        <v>749</v>
      </c>
      <c r="L380" s="3" t="s">
        <v>26</v>
      </c>
      <c r="M380" s="3" t="s">
        <v>27</v>
      </c>
      <c r="N380" s="3" t="s">
        <v>28</v>
      </c>
      <c r="P380" s="3" t="s">
        <v>36</v>
      </c>
      <c r="S380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1" spans="1:19" x14ac:dyDescent="0.2">
      <c r="A381" s="4">
        <v>1044</v>
      </c>
      <c r="B381" s="3">
        <v>1</v>
      </c>
      <c r="C381" s="3" t="s">
        <v>777</v>
      </c>
      <c r="D381" s="3" t="s">
        <v>89</v>
      </c>
      <c r="E381" s="3" t="s">
        <v>21</v>
      </c>
      <c r="F381" s="3" t="s">
        <v>743</v>
      </c>
      <c r="H381" s="3" t="s">
        <v>23</v>
      </c>
      <c r="I381" s="3" t="s">
        <v>21</v>
      </c>
      <c r="J381" s="3" t="s">
        <v>750</v>
      </c>
      <c r="K381" s="3" t="s">
        <v>751</v>
      </c>
      <c r="L381" s="3" t="s">
        <v>26</v>
      </c>
      <c r="M381" s="3" t="s">
        <v>27</v>
      </c>
      <c r="N381" s="3" t="s">
        <v>28</v>
      </c>
      <c r="P381" s="3" t="s">
        <v>36</v>
      </c>
      <c r="S381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2" spans="1:19" x14ac:dyDescent="0.2">
      <c r="A382" s="4">
        <v>1044</v>
      </c>
      <c r="B382" s="3">
        <v>1</v>
      </c>
      <c r="C382" s="3" t="s">
        <v>777</v>
      </c>
      <c r="D382" s="3" t="s">
        <v>89</v>
      </c>
      <c r="E382" s="3" t="s">
        <v>21</v>
      </c>
      <c r="F382" s="3" t="s">
        <v>743</v>
      </c>
      <c r="H382" s="3" t="s">
        <v>23</v>
      </c>
      <c r="I382" s="3" t="s">
        <v>21</v>
      </c>
      <c r="J382" s="3" t="s">
        <v>752</v>
      </c>
      <c r="K382" s="3" t="s">
        <v>753</v>
      </c>
      <c r="L382" s="3" t="s">
        <v>26</v>
      </c>
      <c r="M382" s="3" t="s">
        <v>27</v>
      </c>
      <c r="N382" s="3" t="s">
        <v>28</v>
      </c>
      <c r="P382" s="3" t="s">
        <v>36</v>
      </c>
      <c r="S382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3" spans="1:19" x14ac:dyDescent="0.2">
      <c r="A383" s="4">
        <v>1044</v>
      </c>
      <c r="B383" s="3">
        <v>1</v>
      </c>
      <c r="C383" s="3" t="s">
        <v>777</v>
      </c>
      <c r="D383" s="3" t="s">
        <v>89</v>
      </c>
      <c r="E383" s="3" t="s">
        <v>21</v>
      </c>
      <c r="F383" s="3" t="s">
        <v>743</v>
      </c>
      <c r="H383" s="3" t="s">
        <v>23</v>
      </c>
      <c r="I383" s="3" t="s">
        <v>21</v>
      </c>
      <c r="J383" s="3" t="s">
        <v>754</v>
      </c>
      <c r="K383" s="3" t="s">
        <v>755</v>
      </c>
      <c r="L383" s="3" t="s">
        <v>26</v>
      </c>
      <c r="M383" s="3" t="s">
        <v>27</v>
      </c>
      <c r="N383" s="3" t="s">
        <v>28</v>
      </c>
      <c r="P383" s="3" t="s">
        <v>36</v>
      </c>
      <c r="S383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4" spans="1:19" x14ac:dyDescent="0.2">
      <c r="A384" s="4">
        <v>1044</v>
      </c>
      <c r="B384" s="3">
        <v>1</v>
      </c>
      <c r="C384" s="3" t="s">
        <v>777</v>
      </c>
      <c r="D384" s="3" t="s">
        <v>89</v>
      </c>
      <c r="E384" s="3" t="s">
        <v>21</v>
      </c>
      <c r="F384" s="3" t="s">
        <v>743</v>
      </c>
      <c r="H384" s="3" t="s">
        <v>23</v>
      </c>
      <c r="I384" s="3" t="s">
        <v>21</v>
      </c>
      <c r="J384" s="3" t="s">
        <v>756</v>
      </c>
      <c r="K384" s="3" t="s">
        <v>757</v>
      </c>
      <c r="L384" s="3" t="s">
        <v>26</v>
      </c>
      <c r="M384" s="3" t="s">
        <v>27</v>
      </c>
      <c r="N384" s="3" t="s">
        <v>28</v>
      </c>
      <c r="P384" s="3" t="s">
        <v>36</v>
      </c>
      <c r="S384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5" spans="1:19" x14ac:dyDescent="0.2">
      <c r="A385" s="4">
        <v>1044</v>
      </c>
      <c r="B385" s="3">
        <v>1</v>
      </c>
      <c r="C385" s="3" t="s">
        <v>777</v>
      </c>
      <c r="D385" s="3" t="s">
        <v>89</v>
      </c>
      <c r="E385" s="3" t="s">
        <v>21</v>
      </c>
      <c r="F385" s="3" t="s">
        <v>743</v>
      </c>
      <c r="H385" s="3" t="s">
        <v>23</v>
      </c>
      <c r="I385" s="3" t="s">
        <v>21</v>
      </c>
      <c r="J385" s="3" t="s">
        <v>758</v>
      </c>
      <c r="K385" s="3" t="s">
        <v>759</v>
      </c>
      <c r="L385" s="3" t="s">
        <v>26</v>
      </c>
      <c r="M385" s="3" t="s">
        <v>27</v>
      </c>
      <c r="N385" s="3" t="s">
        <v>28</v>
      </c>
      <c r="P385" s="3" t="s">
        <v>36</v>
      </c>
      <c r="S385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6" spans="1:19" x14ac:dyDescent="0.2">
      <c r="A386" s="4">
        <v>1044</v>
      </c>
      <c r="B386" s="3">
        <v>1</v>
      </c>
      <c r="C386" s="3" t="s">
        <v>777</v>
      </c>
      <c r="D386" s="3" t="s">
        <v>89</v>
      </c>
      <c r="E386" s="3" t="s">
        <v>21</v>
      </c>
      <c r="F386" s="3" t="s">
        <v>743</v>
      </c>
      <c r="H386" s="3" t="s">
        <v>23</v>
      </c>
      <c r="I386" s="3" t="s">
        <v>21</v>
      </c>
      <c r="J386" s="3" t="s">
        <v>760</v>
      </c>
      <c r="K386" s="3" t="s">
        <v>761</v>
      </c>
      <c r="L386" s="3" t="s">
        <v>26</v>
      </c>
      <c r="M386" s="3" t="s">
        <v>27</v>
      </c>
      <c r="N386" s="3" t="s">
        <v>28</v>
      </c>
      <c r="P386" s="3" t="s">
        <v>36</v>
      </c>
      <c r="S386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7" spans="1:19" x14ac:dyDescent="0.2">
      <c r="A387" s="4">
        <v>1044</v>
      </c>
      <c r="B387" s="3">
        <v>1</v>
      </c>
      <c r="C387" s="3" t="s">
        <v>777</v>
      </c>
      <c r="D387" s="3" t="s">
        <v>89</v>
      </c>
      <c r="E387" s="3" t="s">
        <v>21</v>
      </c>
      <c r="F387" s="3" t="s">
        <v>743</v>
      </c>
      <c r="H387" s="3" t="s">
        <v>23</v>
      </c>
      <c r="I387" s="3" t="s">
        <v>21</v>
      </c>
      <c r="J387" s="3" t="s">
        <v>762</v>
      </c>
      <c r="K387" s="3" t="s">
        <v>763</v>
      </c>
      <c r="L387" s="3" t="s">
        <v>26</v>
      </c>
      <c r="M387" s="3" t="s">
        <v>27</v>
      </c>
      <c r="N387" s="3" t="s">
        <v>28</v>
      </c>
      <c r="P387" s="3" t="s">
        <v>36</v>
      </c>
      <c r="S387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8" spans="1:19" x14ac:dyDescent="0.2">
      <c r="A388" s="4">
        <v>1044</v>
      </c>
      <c r="B388" s="3">
        <v>1</v>
      </c>
      <c r="C388" s="3" t="s">
        <v>777</v>
      </c>
      <c r="D388" s="3" t="s">
        <v>89</v>
      </c>
      <c r="E388" s="3" t="s">
        <v>21</v>
      </c>
      <c r="F388" s="3" t="s">
        <v>743</v>
      </c>
      <c r="H388" s="3" t="s">
        <v>23</v>
      </c>
      <c r="I388" s="3" t="s">
        <v>21</v>
      </c>
      <c r="J388" s="3" t="s">
        <v>764</v>
      </c>
      <c r="K388" s="3" t="s">
        <v>765</v>
      </c>
      <c r="L388" s="3" t="s">
        <v>26</v>
      </c>
      <c r="M388" s="3" t="s">
        <v>27</v>
      </c>
      <c r="N388" s="3" t="s">
        <v>28</v>
      </c>
      <c r="P388" s="3" t="s">
        <v>36</v>
      </c>
      <c r="S388" s="3" t="str">
        <f t="shared" ref="S388:S451" si="6">IF(F388="","","WITH ZDATA AS
(SELECT "&amp;F388&amp;" AS Value, 
'123' AS BusinessObjectKey, 
"&amp;IF(I388="False","CASE WHEN "&amp;K388&amp;" THEN '"&amp;J388&amp;"' ELSE '"&amp;L388&amp;"' 
END AS Characteristic",G388)&amp;"
FROM "&amp;M388&amp;"
"&amp;O388&amp;"
"&amp;IF(P388="","", "WHERE "&amp;P388)&amp;"
"&amp;IF(Q388="","", "GROUP BY "&amp;Q388)&amp;"
"&amp;IF(R388="","", "HAVING "&amp;R388)&amp;"
) 
SELECT '"&amp;C388&amp;"' AS KeyFigureName,
'123456' AS ProcessingRunId, 
'12345' AS WaveId, 
Characteristic, BusinessObjectKey, 
"&amp;IF(H388="","Value",H388)&amp;" AS Value 
FROM ZDATA 
"&amp;IF(I388="False","GROUP BY Characteristic, BusinessObjectKey","")&amp;"
ORDER BY BusinessObjectKey;")</f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9" spans="1:19" x14ac:dyDescent="0.2">
      <c r="A389" s="4">
        <v>1044</v>
      </c>
      <c r="B389" s="3">
        <v>1</v>
      </c>
      <c r="C389" s="3" t="s">
        <v>777</v>
      </c>
      <c r="D389" s="3" t="s">
        <v>89</v>
      </c>
      <c r="E389" s="3" t="s">
        <v>21</v>
      </c>
      <c r="F389" s="3" t="s">
        <v>743</v>
      </c>
      <c r="H389" s="3" t="s">
        <v>23</v>
      </c>
      <c r="I389" s="3" t="s">
        <v>21</v>
      </c>
      <c r="J389" s="3" t="s">
        <v>766</v>
      </c>
      <c r="K389" s="3" t="s">
        <v>767</v>
      </c>
      <c r="L389" s="3" t="s">
        <v>26</v>
      </c>
      <c r="M389" s="3" t="s">
        <v>27</v>
      </c>
      <c r="N389" s="3" t="s">
        <v>28</v>
      </c>
      <c r="P389" s="3" t="s">
        <v>36</v>
      </c>
      <c r="S389" s="3" t="str">
        <f t="shared" si="6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0" spans="1:19" x14ac:dyDescent="0.2">
      <c r="A390" s="4">
        <v>1044</v>
      </c>
      <c r="B390" s="3">
        <v>1</v>
      </c>
      <c r="C390" s="3" t="s">
        <v>777</v>
      </c>
      <c r="D390" s="3" t="s">
        <v>89</v>
      </c>
      <c r="E390" s="3" t="s">
        <v>21</v>
      </c>
      <c r="F390" s="3" t="s">
        <v>743</v>
      </c>
      <c r="H390" s="3" t="s">
        <v>23</v>
      </c>
      <c r="I390" s="3" t="s">
        <v>21</v>
      </c>
      <c r="J390" s="3" t="s">
        <v>768</v>
      </c>
      <c r="K390" s="3" t="s">
        <v>769</v>
      </c>
      <c r="L390" s="3" t="s">
        <v>26</v>
      </c>
      <c r="M390" s="3" t="s">
        <v>27</v>
      </c>
      <c r="N390" s="3" t="s">
        <v>28</v>
      </c>
      <c r="P390" s="3" t="s">
        <v>36</v>
      </c>
      <c r="S390" s="3" t="str">
        <f t="shared" si="6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1" spans="1:19" x14ac:dyDescent="0.2">
      <c r="A391" s="4">
        <v>1044</v>
      </c>
      <c r="B391" s="3">
        <v>1</v>
      </c>
      <c r="C391" s="3" t="s">
        <v>777</v>
      </c>
      <c r="D391" s="3" t="s">
        <v>89</v>
      </c>
      <c r="E391" s="3" t="s">
        <v>21</v>
      </c>
      <c r="F391" s="3" t="s">
        <v>743</v>
      </c>
      <c r="H391" s="3" t="s">
        <v>23</v>
      </c>
      <c r="I391" s="3" t="s">
        <v>21</v>
      </c>
      <c r="J391" s="3" t="s">
        <v>770</v>
      </c>
      <c r="K391" s="3" t="s">
        <v>771</v>
      </c>
      <c r="L391" s="3" t="s">
        <v>26</v>
      </c>
      <c r="M391" s="3" t="s">
        <v>27</v>
      </c>
      <c r="N391" s="3" t="s">
        <v>28</v>
      </c>
      <c r="P391" s="3" t="s">
        <v>36</v>
      </c>
      <c r="S391" s="3" t="str">
        <f t="shared" si="6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2" spans="1:19" x14ac:dyDescent="0.2">
      <c r="A392" s="4">
        <v>1044</v>
      </c>
      <c r="B392" s="3">
        <v>1</v>
      </c>
      <c r="C392" s="3" t="s">
        <v>777</v>
      </c>
      <c r="D392" s="3" t="s">
        <v>89</v>
      </c>
      <c r="E392" s="3" t="s">
        <v>21</v>
      </c>
      <c r="F392" s="3" t="s">
        <v>743</v>
      </c>
      <c r="H392" s="3" t="s">
        <v>23</v>
      </c>
      <c r="I392" s="3" t="s">
        <v>21</v>
      </c>
      <c r="J392" s="3" t="s">
        <v>772</v>
      </c>
      <c r="K392" s="3" t="s">
        <v>773</v>
      </c>
      <c r="L392" s="3" t="s">
        <v>26</v>
      </c>
      <c r="M392" s="3" t="s">
        <v>27</v>
      </c>
      <c r="N392" s="3" t="s">
        <v>28</v>
      </c>
      <c r="P392" s="3" t="s">
        <v>36</v>
      </c>
      <c r="S392" s="3" t="str">
        <f t="shared" si="6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3" spans="1:19" x14ac:dyDescent="0.2">
      <c r="A393" s="4">
        <v>1044</v>
      </c>
      <c r="B393" s="3">
        <v>1</v>
      </c>
      <c r="C393" s="3" t="s">
        <v>777</v>
      </c>
      <c r="D393" s="3" t="s">
        <v>89</v>
      </c>
      <c r="E393" s="3" t="s">
        <v>21</v>
      </c>
      <c r="F393" s="3" t="s">
        <v>743</v>
      </c>
      <c r="H393" s="3" t="s">
        <v>23</v>
      </c>
      <c r="I393" s="3" t="s">
        <v>21</v>
      </c>
      <c r="J393" s="3" t="s">
        <v>774</v>
      </c>
      <c r="K393" s="3" t="s">
        <v>775</v>
      </c>
      <c r="L393" s="3" t="s">
        <v>26</v>
      </c>
      <c r="M393" s="3" t="s">
        <v>27</v>
      </c>
      <c r="N393" s="3" t="s">
        <v>28</v>
      </c>
      <c r="P393" s="3" t="s">
        <v>36</v>
      </c>
      <c r="S393" s="3" t="str">
        <f t="shared" si="6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4" spans="1:19" x14ac:dyDescent="0.2">
      <c r="A394" s="4">
        <v>1044</v>
      </c>
      <c r="B394" s="3">
        <v>2</v>
      </c>
      <c r="C394" s="3" t="s">
        <v>778</v>
      </c>
      <c r="D394" s="3" t="s">
        <v>779</v>
      </c>
      <c r="E394" s="3" t="s">
        <v>21</v>
      </c>
      <c r="F394" s="3" t="s">
        <v>39</v>
      </c>
      <c r="G394" s="3" t="s">
        <v>40</v>
      </c>
      <c r="I394" s="3" t="s">
        <v>41</v>
      </c>
      <c r="M394" s="3" t="s">
        <v>780</v>
      </c>
      <c r="N394" s="3" t="s">
        <v>43</v>
      </c>
      <c r="O394" s="3" t="s">
        <v>781</v>
      </c>
      <c r="S394" s="3" t="str">
        <f t="shared" si="6"/>
        <v>WITH ZDATA AS
(SELECT NVL(kfc.VALUE,0)-NVL(kfc2.VALUE,0) AS Value, 
'123' AS BusinessObjectKey, 
kfc.CHARACTERISTIC AS Characteristic
FROM ANZ_1044_AKUT kfc
JOIN PDP_ANZ_1044_AKUT kfc2 ON kfc.BO_KEY = kfc2.BO_KEY AND kfc.CHARACTERISTIC = kfc2.CHARACTERISTIC
) 
SELECT 'VGL_ABS_1044_AKUT' AS KeyFigureName,
'123456' AS ProcessingRunId, 
'12345' AS WaveId, 
Characteristic, BusinessObjectKey, 
Value AS Value 
FROM ZDATA 
ORDER BY BusinessObjectKey;</v>
      </c>
    </row>
    <row r="395" spans="1:19" x14ac:dyDescent="0.2">
      <c r="A395" s="4">
        <v>1044</v>
      </c>
      <c r="B395" s="3">
        <v>2</v>
      </c>
      <c r="C395" s="3" t="s">
        <v>782</v>
      </c>
      <c r="D395" s="3" t="s">
        <v>783</v>
      </c>
      <c r="E395" s="3" t="s">
        <v>21</v>
      </c>
      <c r="F395" s="3" t="s">
        <v>39</v>
      </c>
      <c r="G395" s="3" t="s">
        <v>40</v>
      </c>
      <c r="I395" s="3" t="s">
        <v>41</v>
      </c>
      <c r="M395" s="3" t="s">
        <v>784</v>
      </c>
      <c r="N395" s="3" t="s">
        <v>43</v>
      </c>
      <c r="O395" s="3" t="s">
        <v>785</v>
      </c>
      <c r="S395" s="3" t="str">
        <f t="shared" si="6"/>
        <v>WITH ZDATA AS
(SELECT NVL(kfc.VALUE,0)-NVL(kfc2.VALUE,0) AS Value, 
'123' AS BusinessObjectKey, 
kfc.CHARACTERISTIC AS Characteristic
FROM ANZ_1044_PSY kfc
JOIN PDP_ANZ_1044_PSY kfc2 ON kfc.BO_KEY = kfc2.BO_KEY AND kfc.CHARACTERISTIC = kfc2.CHARACTERISTIC
) 
SELECT 'VGL_ABS_1044_PSY' AS KeyFigureName,
'123456' AS ProcessingRunId, 
'12345' AS WaveId, 
Characteristic, BusinessObjectKey, 
Value AS Value 
FROM ZDATA 
ORDER BY BusinessObjectKey;</v>
      </c>
    </row>
    <row r="396" spans="1:19" x14ac:dyDescent="0.2">
      <c r="A396" s="4">
        <v>1044</v>
      </c>
      <c r="B396" s="3">
        <v>2</v>
      </c>
      <c r="C396" s="3" t="s">
        <v>786</v>
      </c>
      <c r="D396" s="3" t="s">
        <v>787</v>
      </c>
      <c r="E396" s="3" t="s">
        <v>21</v>
      </c>
      <c r="F396" s="3" t="s">
        <v>39</v>
      </c>
      <c r="G396" s="3" t="s">
        <v>40</v>
      </c>
      <c r="I396" s="3" t="s">
        <v>41</v>
      </c>
      <c r="M396" s="3" t="s">
        <v>788</v>
      </c>
      <c r="N396" s="3" t="s">
        <v>43</v>
      </c>
      <c r="O396" s="3" t="s">
        <v>789</v>
      </c>
      <c r="S396" s="3" t="str">
        <f t="shared" si="6"/>
        <v>WITH ZDATA AS
(SELECT NVL(kfc.VALUE,0)-NVL(kfc2.VALUE,0) AS Value, 
'123' AS BusinessObjectKey, 
kfc.CHARACTERISTIC AS Characteristic
FROM ANZ_1044_REHA kfc
JOIN PDP_ANZ_1044_REHA kfc2 ON kfc.BO_KEY = kfc2.BO_KEY AND kfc.CHARACTERISTIC = kfc2.CHARACTERISTIC
) 
SELECT 'VGL_ABS_1044_REHA' AS KeyFigureName,
'123456' AS ProcessingRunId, 
'12345' AS WaveId, 
Characteristic, BusinessObjectKey, 
Value AS Value 
FROM ZDATA 
ORDER BY BusinessObjectKey;</v>
      </c>
    </row>
    <row r="397" spans="1:19" x14ac:dyDescent="0.2">
      <c r="A397" s="4">
        <v>1044</v>
      </c>
      <c r="B397" s="3">
        <v>2</v>
      </c>
      <c r="C397" s="3" t="s">
        <v>790</v>
      </c>
      <c r="D397" s="3" t="s">
        <v>779</v>
      </c>
      <c r="E397" s="3" t="s">
        <v>21</v>
      </c>
      <c r="F397" s="3" t="s">
        <v>54</v>
      </c>
      <c r="G397" s="3" t="s">
        <v>40</v>
      </c>
      <c r="I397" s="3" t="s">
        <v>41</v>
      </c>
      <c r="M397" s="3" t="s">
        <v>780</v>
      </c>
      <c r="N397" s="3" t="s">
        <v>43</v>
      </c>
      <c r="O397" s="3" t="s">
        <v>781</v>
      </c>
      <c r="P397" s="3" t="s">
        <v>55</v>
      </c>
      <c r="S397" s="3" t="str">
        <f t="shared" si="6"/>
        <v>WITH ZDATA AS
(SELECT TRUNC((NVL(kfc.VALUE,0)-NVL(kfc2.VALUE,0)) / kfc2.VALUE,10) AS Value, 
'123' AS BusinessObjectKey, 
kfc.CHARACTERISTIC AS Characteristic
FROM ANZ_1044_AKUT kfc
JOIN PDP_ANZ_1044_AKUT kfc2 ON kfc.BO_KEY = kfc2.BO_KEY AND kfc.CHARACTERISTIC = kfc2.CHARACTERISTIC
WHERE kfc2.VALUE &lt;&gt; 0 AND kfc2.VALUE IS NOT NULL
) 
SELECT 'VGL_REL_1044_AKUT' AS KeyFigureName,
'123456' AS ProcessingRunId, 
'12345' AS WaveId, 
Characteristic, BusinessObjectKey, 
Value AS Value 
FROM ZDATA 
ORDER BY BusinessObjectKey;</v>
      </c>
    </row>
    <row r="398" spans="1:19" x14ac:dyDescent="0.2">
      <c r="A398" s="4">
        <v>1044</v>
      </c>
      <c r="B398" s="3">
        <v>2</v>
      </c>
      <c r="C398" s="3" t="s">
        <v>791</v>
      </c>
      <c r="D398" s="3" t="s">
        <v>783</v>
      </c>
      <c r="E398" s="3" t="s">
        <v>21</v>
      </c>
      <c r="F398" s="3" t="s">
        <v>54</v>
      </c>
      <c r="G398" s="3" t="s">
        <v>40</v>
      </c>
      <c r="I398" s="3" t="s">
        <v>41</v>
      </c>
      <c r="M398" s="3" t="s">
        <v>784</v>
      </c>
      <c r="N398" s="3" t="s">
        <v>43</v>
      </c>
      <c r="O398" s="3" t="s">
        <v>785</v>
      </c>
      <c r="P398" s="3" t="s">
        <v>55</v>
      </c>
      <c r="S398" s="3" t="str">
        <f t="shared" si="6"/>
        <v>WITH ZDATA AS
(SELECT TRUNC((NVL(kfc.VALUE,0)-NVL(kfc2.VALUE,0)) / kfc2.VALUE,10) AS Value, 
'123' AS BusinessObjectKey, 
kfc.CHARACTERISTIC AS Characteristic
FROM ANZ_1044_PSY kfc
JOIN PDP_ANZ_1044_PSY kfc2 ON kfc.BO_KEY = kfc2.BO_KEY AND kfc.CHARACTERISTIC = kfc2.CHARACTERISTIC
WHERE kfc2.VALUE &lt;&gt; 0 AND kfc2.VALUE IS NOT NULL
) 
SELECT 'VGL_REL_1044_PSY' AS KeyFigureName,
'123456' AS ProcessingRunId, 
'12345' AS WaveId, 
Characteristic, BusinessObjectKey, 
Value AS Value 
FROM ZDATA 
ORDER BY BusinessObjectKey;</v>
      </c>
    </row>
    <row r="399" spans="1:19" x14ac:dyDescent="0.2">
      <c r="A399" s="4">
        <v>1044</v>
      </c>
      <c r="B399" s="3">
        <v>2</v>
      </c>
      <c r="C399" s="3" t="s">
        <v>792</v>
      </c>
      <c r="D399" s="3" t="s">
        <v>787</v>
      </c>
      <c r="E399" s="3" t="s">
        <v>21</v>
      </c>
      <c r="F399" s="3" t="s">
        <v>54</v>
      </c>
      <c r="G399" s="3" t="s">
        <v>40</v>
      </c>
      <c r="I399" s="3" t="s">
        <v>41</v>
      </c>
      <c r="M399" s="3" t="s">
        <v>788</v>
      </c>
      <c r="N399" s="3" t="s">
        <v>43</v>
      </c>
      <c r="O399" s="3" t="s">
        <v>789</v>
      </c>
      <c r="P399" s="3" t="s">
        <v>55</v>
      </c>
      <c r="S399" s="3" t="str">
        <f t="shared" si="6"/>
        <v>WITH ZDATA AS
(SELECT TRUNC((NVL(kfc.VALUE,0)-NVL(kfc2.VALUE,0)) / kfc2.VALUE,10) AS Value, 
'123' AS BusinessObjectKey, 
kfc.CHARACTERISTIC AS Characteristic
FROM ANZ_1044_REHA kfc
JOIN PDP_ANZ_1044_REHA kfc2 ON kfc.BO_KEY = kfc2.BO_KEY AND kfc.CHARACTERISTIC = kfc2.CHARACTERISTIC
WHERE kfc2.VALUE &lt;&gt; 0 AND kfc2.VALUE IS NOT NULL
) 
SELECT 'VGL_REL_1044_REHA' AS KeyFigureName,
'123456' AS ProcessingRunId, 
'12345' AS WaveId, 
Characteristic, BusinessObjectKey, 
Value AS Value 
FROM ZDATA 
ORDER BY BusinessObjectKey;</v>
      </c>
    </row>
    <row r="400" spans="1:19" x14ac:dyDescent="0.2">
      <c r="A400" s="4">
        <v>1059</v>
      </c>
      <c r="B400" s="3">
        <v>1</v>
      </c>
      <c r="C400" s="3" t="s">
        <v>793</v>
      </c>
      <c r="D400" s="3" t="s">
        <v>137</v>
      </c>
      <c r="E400" s="3" t="s">
        <v>21</v>
      </c>
      <c r="F400" s="3" t="s">
        <v>794</v>
      </c>
      <c r="H400" s="3" t="s">
        <v>61</v>
      </c>
      <c r="I400" s="3" t="s">
        <v>21</v>
      </c>
      <c r="J400" s="3" t="s">
        <v>91</v>
      </c>
      <c r="K400" s="3" t="s">
        <v>140</v>
      </c>
      <c r="L400" s="3" t="s">
        <v>26</v>
      </c>
      <c r="M400" s="3" t="s">
        <v>27</v>
      </c>
      <c r="N400" s="3" t="s">
        <v>28</v>
      </c>
      <c r="O400" s="3" t="s">
        <v>141</v>
      </c>
      <c r="S400" s="3" t="str">
        <f t="shared" si="6"/>
        <v>WITH ZDATA AS
(SELECT drg.LOS AS Value, 
'123' AS BusinessObjectKey, 
CASE WHEN adm.UV_TARIF = 1 THEN 'TARIF_1'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1" spans="1:19" x14ac:dyDescent="0.2">
      <c r="A401" s="4">
        <v>1059</v>
      </c>
      <c r="B401" s="3">
        <v>1</v>
      </c>
      <c r="C401" s="3" t="s">
        <v>793</v>
      </c>
      <c r="D401" s="3" t="s">
        <v>137</v>
      </c>
      <c r="E401" s="3" t="s">
        <v>21</v>
      </c>
      <c r="F401" s="3" t="s">
        <v>794</v>
      </c>
      <c r="H401" s="3" t="s">
        <v>61</v>
      </c>
      <c r="I401" s="3" t="s">
        <v>21</v>
      </c>
      <c r="J401" s="3" t="s">
        <v>193</v>
      </c>
      <c r="K401" s="3" t="s">
        <v>795</v>
      </c>
      <c r="L401" s="3" t="s">
        <v>26</v>
      </c>
      <c r="M401" s="3" t="s">
        <v>27</v>
      </c>
      <c r="N401" s="3" t="s">
        <v>28</v>
      </c>
      <c r="O401" s="3" t="s">
        <v>141</v>
      </c>
      <c r="S401" s="3" t="str">
        <f t="shared" si="6"/>
        <v>WITH ZDATA AS
(SELECT drg.LOS AS Value, 
'123' AS BusinessObjectKey, 
CASE WHEN adm.UV_TARIF = 2 THEN 'TARIF_2'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2" spans="1:19" x14ac:dyDescent="0.2">
      <c r="A402" s="4">
        <v>1059</v>
      </c>
      <c r="B402" s="3">
        <v>1</v>
      </c>
      <c r="C402" s="3" t="s">
        <v>793</v>
      </c>
      <c r="D402" s="3" t="s">
        <v>137</v>
      </c>
      <c r="E402" s="3" t="s">
        <v>21</v>
      </c>
      <c r="F402" s="3" t="s">
        <v>794</v>
      </c>
      <c r="H402" s="3" t="s">
        <v>61</v>
      </c>
      <c r="I402" s="3" t="s">
        <v>21</v>
      </c>
      <c r="J402" s="3" t="s">
        <v>94</v>
      </c>
      <c r="K402" s="3" t="s">
        <v>146</v>
      </c>
      <c r="L402" s="3" t="s">
        <v>26</v>
      </c>
      <c r="M402" s="3" t="s">
        <v>27</v>
      </c>
      <c r="N402" s="3" t="s">
        <v>28</v>
      </c>
      <c r="O402" s="3" t="s">
        <v>141</v>
      </c>
      <c r="S402" s="3" t="str">
        <f t="shared" si="6"/>
        <v>WITH ZDATA AS
(SELECT drg.LOS AS Value, 
'123' AS BusinessObjectKey, 
CASE WHEN adm.UV_TARIF = 3 THEN 'TARIF_3'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3" spans="1:19" x14ac:dyDescent="0.2">
      <c r="A403" s="4">
        <v>1059</v>
      </c>
      <c r="B403" s="3">
        <v>1</v>
      </c>
      <c r="C403" s="3" t="s">
        <v>793</v>
      </c>
      <c r="D403" s="3" t="s">
        <v>137</v>
      </c>
      <c r="E403" s="3" t="s">
        <v>21</v>
      </c>
      <c r="F403" s="3" t="s">
        <v>794</v>
      </c>
      <c r="H403" s="3" t="s">
        <v>61</v>
      </c>
      <c r="I403" s="3" t="s">
        <v>21</v>
      </c>
      <c r="J403" s="3" t="s">
        <v>199</v>
      </c>
      <c r="K403" s="3" t="s">
        <v>796</v>
      </c>
      <c r="L403" s="3" t="s">
        <v>26</v>
      </c>
      <c r="M403" s="3" t="s">
        <v>27</v>
      </c>
      <c r="N403" s="3" t="s">
        <v>28</v>
      </c>
      <c r="O403" s="3" t="s">
        <v>141</v>
      </c>
      <c r="S403" s="3" t="str">
        <f t="shared" si="6"/>
        <v>WITH ZDATA AS
(SELECT drg.LOS AS Value, 
'123' AS BusinessObjectKey, 
CASE WHEN adm.UV_TARIF = 4 THEN 'TARIF_4'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4" spans="1:19" x14ac:dyDescent="0.2">
      <c r="A404" s="4">
        <v>1059</v>
      </c>
      <c r="B404" s="3">
        <v>1</v>
      </c>
      <c r="C404" s="3" t="s">
        <v>793</v>
      </c>
      <c r="D404" s="3" t="s">
        <v>137</v>
      </c>
      <c r="E404" s="3" t="s">
        <v>21</v>
      </c>
      <c r="F404" s="3" t="s">
        <v>794</v>
      </c>
      <c r="H404" s="3" t="s">
        <v>61</v>
      </c>
      <c r="I404" s="3" t="s">
        <v>21</v>
      </c>
      <c r="J404" s="3" t="s">
        <v>93</v>
      </c>
      <c r="K404" s="3" t="s">
        <v>144</v>
      </c>
      <c r="L404" s="3" t="s">
        <v>26</v>
      </c>
      <c r="M404" s="3" t="s">
        <v>27</v>
      </c>
      <c r="N404" s="3" t="s">
        <v>28</v>
      </c>
      <c r="O404" s="3" t="s">
        <v>141</v>
      </c>
      <c r="S404" s="3" t="str">
        <f t="shared" si="6"/>
        <v>WITH ZDATA AS
(SELECT drg.LOS AS Value, 
'123' AS BusinessObjectKey, 
CASE WHEN adm.UV_TARIF = 5 THEN 'TARIF_5'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5" spans="1:19" x14ac:dyDescent="0.2">
      <c r="A405" s="4">
        <v>1059</v>
      </c>
      <c r="B405" s="3">
        <v>1</v>
      </c>
      <c r="C405" s="3" t="s">
        <v>793</v>
      </c>
      <c r="D405" s="3" t="s">
        <v>137</v>
      </c>
      <c r="E405" s="3" t="s">
        <v>21</v>
      </c>
      <c r="F405" s="3" t="s">
        <v>794</v>
      </c>
      <c r="H405" s="3" t="s">
        <v>61</v>
      </c>
      <c r="I405" s="3" t="s">
        <v>21</v>
      </c>
      <c r="J405" s="3" t="s">
        <v>196</v>
      </c>
      <c r="K405" s="3" t="s">
        <v>797</v>
      </c>
      <c r="L405" s="3" t="s">
        <v>26</v>
      </c>
      <c r="M405" s="3" t="s">
        <v>27</v>
      </c>
      <c r="N405" s="3" t="s">
        <v>28</v>
      </c>
      <c r="O405" s="3" t="s">
        <v>141</v>
      </c>
      <c r="S405" s="3" t="str">
        <f t="shared" si="6"/>
        <v>WITH ZDATA AS
(SELECT drg.LOS AS Value, 
'123' AS BusinessObjectKey, 
CASE WHEN adm.UV_TARIF = 6 THEN 'TARIF_6'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6" spans="1:19" x14ac:dyDescent="0.2">
      <c r="A406" s="4">
        <v>1059</v>
      </c>
      <c r="B406" s="3">
        <v>1</v>
      </c>
      <c r="C406" s="3" t="s">
        <v>793</v>
      </c>
      <c r="D406" s="3" t="s">
        <v>137</v>
      </c>
      <c r="E406" s="3" t="s">
        <v>21</v>
      </c>
      <c r="F406" s="3" t="s">
        <v>794</v>
      </c>
      <c r="H406" s="3" t="s">
        <v>61</v>
      </c>
      <c r="I406" s="3" t="s">
        <v>21</v>
      </c>
      <c r="J406" s="3" t="s">
        <v>798</v>
      </c>
      <c r="K406" s="3" t="s">
        <v>799</v>
      </c>
      <c r="L406" s="3" t="s">
        <v>26</v>
      </c>
      <c r="M406" s="3" t="s">
        <v>27</v>
      </c>
      <c r="N406" s="3" t="s">
        <v>28</v>
      </c>
      <c r="O406" s="3" t="s">
        <v>141</v>
      </c>
      <c r="S406" s="3" t="str">
        <f t="shared" si="6"/>
        <v>WITH ZDATA AS
(SELECT drg.LOS AS Value, 
'123' AS BusinessObjectKey, 
CASE WHEN adm.UV_TARIF = 7 THEN 'TARIF_7'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7" spans="1:19" x14ac:dyDescent="0.2">
      <c r="A407" s="4">
        <v>1059</v>
      </c>
      <c r="B407" s="3">
        <v>1</v>
      </c>
      <c r="C407" s="3" t="s">
        <v>793</v>
      </c>
      <c r="D407" s="3" t="s">
        <v>137</v>
      </c>
      <c r="E407" s="3" t="s">
        <v>21</v>
      </c>
      <c r="F407" s="3" t="s">
        <v>794</v>
      </c>
      <c r="H407" s="3" t="s">
        <v>61</v>
      </c>
      <c r="I407" s="3" t="s">
        <v>21</v>
      </c>
      <c r="J407" s="3" t="s">
        <v>800</v>
      </c>
      <c r="K407" s="3" t="s">
        <v>801</v>
      </c>
      <c r="L407" s="3" t="s">
        <v>26</v>
      </c>
      <c r="M407" s="3" t="s">
        <v>27</v>
      </c>
      <c r="N407" s="3" t="s">
        <v>28</v>
      </c>
      <c r="O407" s="3" t="s">
        <v>141</v>
      </c>
      <c r="S407" s="3" t="str">
        <f t="shared" si="6"/>
        <v>WITH ZDATA AS
(SELECT drg.LOS AS Value, 
'123' AS BusinessObjectKey, 
CASE WHEN adm.UV_TARIF = 0 THEN 'TARIF_0'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8" spans="1:19" x14ac:dyDescent="0.2">
      <c r="A408" s="4">
        <v>1059</v>
      </c>
      <c r="B408" s="3">
        <v>2</v>
      </c>
      <c r="C408" s="3" t="s">
        <v>802</v>
      </c>
      <c r="D408" s="3" t="s">
        <v>803</v>
      </c>
      <c r="E408" s="3" t="s">
        <v>21</v>
      </c>
      <c r="F408" s="3" t="s">
        <v>39</v>
      </c>
      <c r="G408" s="3" t="s">
        <v>40</v>
      </c>
      <c r="I408" s="3" t="s">
        <v>41</v>
      </c>
      <c r="M408" s="3" t="s">
        <v>804</v>
      </c>
      <c r="N408" s="3" t="s">
        <v>43</v>
      </c>
      <c r="O408" s="3" t="s">
        <v>805</v>
      </c>
      <c r="S408" s="3" t="str">
        <f t="shared" si="6"/>
        <v>WITH ZDATA AS
(SELECT NVL(kfc.VALUE,0)-NVL(kfc2.VALUE,0) AS Value, 
'123' AS BusinessObjectKey, 
kfc.CHARACTERISTIC AS Characteristic
FROM SUM_1059 kfc
JOIN PDP_SUM_1059 kfc2 ON kfc.BO_KEY = kfc2.BO_KEY AND kfc.CHARACTERISTIC = kfc2.CHARACTERISTIC
) 
SELECT 'VGL_ABS_1059' AS KeyFigureName,
'123456' AS ProcessingRunId, 
'12345' AS WaveId, 
Characteristic, BusinessObjectKey, 
Value AS Value 
FROM ZDATA 
ORDER BY BusinessObjectKey;</v>
      </c>
    </row>
    <row r="409" spans="1:19" x14ac:dyDescent="0.2">
      <c r="A409" s="4">
        <v>1059</v>
      </c>
      <c r="B409" s="3">
        <v>2</v>
      </c>
      <c r="C409" s="3" t="s">
        <v>806</v>
      </c>
      <c r="D409" s="3" t="s">
        <v>803</v>
      </c>
      <c r="E409" s="3" t="s">
        <v>21</v>
      </c>
      <c r="F409" s="3" t="s">
        <v>54</v>
      </c>
      <c r="G409" s="3" t="s">
        <v>40</v>
      </c>
      <c r="I409" s="3" t="s">
        <v>41</v>
      </c>
      <c r="M409" s="3" t="s">
        <v>804</v>
      </c>
      <c r="N409" s="3" t="s">
        <v>43</v>
      </c>
      <c r="O409" s="3" t="s">
        <v>805</v>
      </c>
      <c r="P409" s="3" t="s">
        <v>55</v>
      </c>
      <c r="S409" s="3" t="str">
        <f t="shared" si="6"/>
        <v>WITH ZDATA AS
(SELECT TRUNC((NVL(kfc.VALUE,0)-NVL(kfc2.VALUE,0)) / kfc2.VALUE,10) AS Value, 
'123' AS BusinessObjectKey, 
kfc.CHARACTERISTIC AS Characteristic
FROM SUM_1059 kfc
JOIN PDP_SUM_1059 kfc2 ON kfc.BO_KEY = kfc2.BO_KEY AND kfc.CHARACTERISTIC = kfc2.CHARACTERISTIC
WHERE kfc2.VALUE &lt;&gt; 0 AND kfc2.VALUE IS NOT NULL
) 
SELECT 'VGL_REL_1059' AS KeyFigureName,
'123456' AS ProcessingRunId, 
'12345' AS WaveId, 
Characteristic, BusinessObjectKey, 
Value AS Value 
FROM ZDATA 
ORDER BY BusinessObjectKey;</v>
      </c>
    </row>
    <row r="410" spans="1:19" x14ac:dyDescent="0.2">
      <c r="A410" s="4">
        <v>1065</v>
      </c>
      <c r="B410" s="3">
        <v>1</v>
      </c>
      <c r="C410" s="3" t="s">
        <v>807</v>
      </c>
      <c r="D410" s="3" t="s">
        <v>808</v>
      </c>
      <c r="E410" s="3" t="s">
        <v>21</v>
      </c>
      <c r="F410" s="3" t="s">
        <v>809</v>
      </c>
      <c r="H410" s="3" t="s">
        <v>23</v>
      </c>
      <c r="I410" s="3" t="s">
        <v>21</v>
      </c>
      <c r="J410" s="3" t="s">
        <v>810</v>
      </c>
      <c r="K410" s="3" t="s">
        <v>63</v>
      </c>
      <c r="L410" s="3" t="s">
        <v>26</v>
      </c>
      <c r="M410" s="3" t="s">
        <v>27</v>
      </c>
      <c r="N410" s="3" t="s">
        <v>28</v>
      </c>
      <c r="O410" s="3" t="s">
        <v>811</v>
      </c>
      <c r="P410" s="3" t="s">
        <v>812</v>
      </c>
      <c r="S410" s="3" t="str">
        <f t="shared" si="6"/>
        <v>WITH ZDATA AS
(SELECT psy.UV_PSY_ENTSCH_AUSTRITT AS Value, 
'123' AS BusinessObjectKey, 
CASE WHEN 1=1 THEN 'PSY_ENTSCH_AUSTRITT_51_52' ELSE 'OTHER' 
END AS Characteristic
FROM ADMINISTRATIVES adm
JOIN PSYCHIATRIE psy ON adm.UV_FALL_ID=psy.UV_FALL_ID AND adm.UV_BURNR=psy.UV_BURNR
WHERE adm.UV_ABC_FALL= 'A' AND psy.UV_PSY_ENTSCH_AUSTRITT IN (51,52)
) 
SELECT 'ANZ_1065' AS KeyFigureName,
'123456' AS ProcessingRunId, 
'12345' AS WaveId, 
Characteristic, BusinessObjectKey, 
COUNT(*) AS Value 
FROM ZDATA 
GROUP BY Characteristic, BusinessObjectKey
ORDER BY BusinessObjectKey;</v>
      </c>
    </row>
    <row r="411" spans="1:19" x14ac:dyDescent="0.2">
      <c r="A411" s="4">
        <v>1069</v>
      </c>
      <c r="B411" s="3">
        <v>1</v>
      </c>
      <c r="C411" s="3" t="s">
        <v>813</v>
      </c>
      <c r="D411" s="3" t="s">
        <v>814</v>
      </c>
      <c r="E411" s="3" t="s">
        <v>21</v>
      </c>
      <c r="F411" s="3" t="s">
        <v>815</v>
      </c>
      <c r="H411" s="3" t="s">
        <v>23</v>
      </c>
      <c r="I411" s="3" t="s">
        <v>21</v>
      </c>
      <c r="J411" s="3" t="s">
        <v>816</v>
      </c>
      <c r="K411" s="3" t="s">
        <v>63</v>
      </c>
      <c r="L411" s="3" t="s">
        <v>26</v>
      </c>
      <c r="M411" s="3" t="s">
        <v>27</v>
      </c>
      <c r="N411" s="3" t="s">
        <v>28</v>
      </c>
      <c r="O411" s="3" t="s">
        <v>817</v>
      </c>
      <c r="P411" s="3" t="s">
        <v>818</v>
      </c>
      <c r="S411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(1,2)
) 
SELECT 'ANZ_1069_AKUT' AS KeyFigureName,
'123456' AS ProcessingRunId, 
'12345' AS WaveId, 
Characteristic, BusinessObjectKey, 
COUNT(*) AS Value 
FROM ZDATA 
GROUP BY Characteristic, BusinessObjectKey
ORDER BY BusinessObjectKey;</v>
      </c>
    </row>
    <row r="412" spans="1:19" x14ac:dyDescent="0.2">
      <c r="A412" s="4">
        <v>1069</v>
      </c>
      <c r="B412" s="3">
        <v>1</v>
      </c>
      <c r="C412" s="3" t="s">
        <v>819</v>
      </c>
      <c r="D412" s="3" t="s">
        <v>814</v>
      </c>
      <c r="E412" s="3" t="s">
        <v>21</v>
      </c>
      <c r="F412" s="3" t="s">
        <v>815</v>
      </c>
      <c r="H412" s="3" t="s">
        <v>23</v>
      </c>
      <c r="I412" s="3" t="s">
        <v>21</v>
      </c>
      <c r="J412" s="3" t="s">
        <v>816</v>
      </c>
      <c r="K412" s="3" t="s">
        <v>63</v>
      </c>
      <c r="L412" s="3" t="s">
        <v>26</v>
      </c>
      <c r="M412" s="3" t="s">
        <v>27</v>
      </c>
      <c r="N412" s="3" t="s">
        <v>28</v>
      </c>
      <c r="O412" s="3" t="s">
        <v>817</v>
      </c>
      <c r="P412" s="3" t="s">
        <v>820</v>
      </c>
      <c r="S412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(5,6)
) 
SELECT 'ANZ_1069_PSY' AS KeyFigureName,
'123456' AS ProcessingRunId, 
'12345' AS WaveId, 
Characteristic, BusinessObjectKey, 
COUNT(*) AS Value 
FROM ZDATA 
GROUP BY Characteristic, BusinessObjectKey
ORDER BY BusinessObjectKey;</v>
      </c>
    </row>
    <row r="413" spans="1:19" x14ac:dyDescent="0.2">
      <c r="A413" s="4">
        <v>1069</v>
      </c>
      <c r="B413" s="3">
        <v>1</v>
      </c>
      <c r="C413" s="3" t="s">
        <v>821</v>
      </c>
      <c r="D413" s="3" t="s">
        <v>814</v>
      </c>
      <c r="E413" s="3" t="s">
        <v>21</v>
      </c>
      <c r="F413" s="3" t="s">
        <v>815</v>
      </c>
      <c r="H413" s="3" t="s">
        <v>23</v>
      </c>
      <c r="I413" s="3" t="s">
        <v>21</v>
      </c>
      <c r="J413" s="3" t="s">
        <v>816</v>
      </c>
      <c r="K413" s="3" t="s">
        <v>63</v>
      </c>
      <c r="L413" s="3" t="s">
        <v>26</v>
      </c>
      <c r="M413" s="3" t="s">
        <v>27</v>
      </c>
      <c r="N413" s="3" t="s">
        <v>28</v>
      </c>
      <c r="O413" s="3" t="s">
        <v>817</v>
      </c>
      <c r="P413" s="3" t="s">
        <v>822</v>
      </c>
      <c r="S413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(3,4)
) 
SELECT 'ANZ_1069_REHA' AS KeyFigureName,
'123456' AS ProcessingRunId, 
'12345' AS WaveId, 
Characteristic, BusinessObjectKey, 
COUNT(*) AS Value 
FROM ZDATA 
GROUP BY Characteristic, BusinessObjectKey
ORDER BY BusinessObjectKey;</v>
      </c>
    </row>
    <row r="414" spans="1:19" x14ac:dyDescent="0.2">
      <c r="A414" s="4">
        <v>1069</v>
      </c>
      <c r="B414" s="3">
        <v>2</v>
      </c>
      <c r="C414" s="3" t="s">
        <v>823</v>
      </c>
      <c r="D414" s="3" t="s">
        <v>824</v>
      </c>
      <c r="E414" s="3" t="s">
        <v>21</v>
      </c>
      <c r="F414" s="3" t="s">
        <v>39</v>
      </c>
      <c r="G414" s="3" t="s">
        <v>40</v>
      </c>
      <c r="I414" s="3" t="s">
        <v>41</v>
      </c>
      <c r="M414" s="3" t="s">
        <v>825</v>
      </c>
      <c r="N414" s="3" t="s">
        <v>43</v>
      </c>
      <c r="O414" s="3" t="s">
        <v>826</v>
      </c>
      <c r="S414" s="3" t="str">
        <f t="shared" si="6"/>
        <v>WITH ZDATA AS
(SELECT NVL(kfc.VALUE,0)-NVL(kfc2.VALUE,0) AS Value, 
'123' AS BusinessObjectKey, 
kfc.CHARACTERISTIC AS Characteristic
FROM ANZ_1069_AKUT kfc
JOIN PDP_ANZ_1069_AKUT kfc2 ON kfc.BO_KEY = kfc2.BO_KEY AND kfc.CHARACTERISTIC = kfc2.CHARACTERISTIC
) 
SELECT 'VGL_ABS_1069_AKUT' AS KeyFigureName,
'123456' AS ProcessingRunId, 
'12345' AS WaveId, 
Characteristic, BusinessObjectKey, 
Value AS Value 
FROM ZDATA 
ORDER BY BusinessObjectKey;</v>
      </c>
    </row>
    <row r="415" spans="1:19" x14ac:dyDescent="0.2">
      <c r="A415" s="4">
        <v>1069</v>
      </c>
      <c r="B415" s="3">
        <v>2</v>
      </c>
      <c r="C415" s="3" t="s">
        <v>827</v>
      </c>
      <c r="D415" s="3" t="s">
        <v>828</v>
      </c>
      <c r="E415" s="3" t="s">
        <v>21</v>
      </c>
      <c r="F415" s="3" t="s">
        <v>39</v>
      </c>
      <c r="G415" s="3" t="s">
        <v>40</v>
      </c>
      <c r="I415" s="3" t="s">
        <v>41</v>
      </c>
      <c r="M415" s="3" t="s">
        <v>829</v>
      </c>
      <c r="N415" s="3" t="s">
        <v>43</v>
      </c>
      <c r="O415" s="3" t="s">
        <v>830</v>
      </c>
      <c r="S415" s="3" t="str">
        <f t="shared" si="6"/>
        <v>WITH ZDATA AS
(SELECT NVL(kfc.VALUE,0)-NVL(kfc2.VALUE,0) AS Value, 
'123' AS BusinessObjectKey, 
kfc.CHARACTERISTIC AS Characteristic
FROM ANZ_1069_PSY kfc
JOIN PDP_ANZ_1069_PSY kfc2 ON kfc.BO_KEY = kfc2.BO_KEY AND kfc.CHARACTERISTIC = kfc2.CHARACTERISTIC
) 
SELECT 'VGL_ABS_1069_PSY' AS KeyFigureName,
'123456' AS ProcessingRunId, 
'12345' AS WaveId, 
Characteristic, BusinessObjectKey, 
Value AS Value 
FROM ZDATA 
ORDER BY BusinessObjectKey;</v>
      </c>
    </row>
    <row r="416" spans="1:19" x14ac:dyDescent="0.2">
      <c r="A416" s="4">
        <v>1069</v>
      </c>
      <c r="B416" s="3">
        <v>2</v>
      </c>
      <c r="C416" s="3" t="s">
        <v>831</v>
      </c>
      <c r="D416" s="3" t="s">
        <v>832</v>
      </c>
      <c r="E416" s="3" t="s">
        <v>21</v>
      </c>
      <c r="F416" s="3" t="s">
        <v>39</v>
      </c>
      <c r="G416" s="3" t="s">
        <v>40</v>
      </c>
      <c r="I416" s="3" t="s">
        <v>41</v>
      </c>
      <c r="M416" s="3" t="s">
        <v>833</v>
      </c>
      <c r="N416" s="3" t="s">
        <v>43</v>
      </c>
      <c r="O416" s="3" t="s">
        <v>834</v>
      </c>
      <c r="S416" s="3" t="str">
        <f t="shared" si="6"/>
        <v>WITH ZDATA AS
(SELECT NVL(kfc.VALUE,0)-NVL(kfc2.VALUE,0) AS Value, 
'123' AS BusinessObjectKey, 
kfc.CHARACTERISTIC AS Characteristic
FROM ANZ_1069_REHA kfc
JOIN PDP_ANZ_1069_REHA kfc2 ON kfc.BO_KEY = kfc2.BO_KEY AND kfc.CHARACTERISTIC = kfc2.CHARACTERISTIC
) 
SELECT 'VGL_ABS_1069_REHA' AS KeyFigureName,
'123456' AS ProcessingRunId, 
'12345' AS WaveId, 
Characteristic, BusinessObjectKey, 
Value AS Value 
FROM ZDATA 
ORDER BY BusinessObjectKey;</v>
      </c>
    </row>
    <row r="417" spans="1:19" x14ac:dyDescent="0.2">
      <c r="A417" s="4">
        <v>1069</v>
      </c>
      <c r="B417" s="3">
        <v>2</v>
      </c>
      <c r="C417" s="3" t="s">
        <v>835</v>
      </c>
      <c r="D417" s="3" t="s">
        <v>824</v>
      </c>
      <c r="E417" s="3" t="s">
        <v>21</v>
      </c>
      <c r="F417" s="3" t="s">
        <v>54</v>
      </c>
      <c r="G417" s="3" t="s">
        <v>40</v>
      </c>
      <c r="I417" s="3" t="s">
        <v>41</v>
      </c>
      <c r="M417" s="3" t="s">
        <v>825</v>
      </c>
      <c r="N417" s="3" t="s">
        <v>43</v>
      </c>
      <c r="O417" s="3" t="s">
        <v>826</v>
      </c>
      <c r="P417" s="3" t="s">
        <v>55</v>
      </c>
      <c r="S417" s="3" t="str">
        <f t="shared" si="6"/>
        <v>WITH ZDATA AS
(SELECT TRUNC((NVL(kfc.VALUE,0)-NVL(kfc2.VALUE,0)) / kfc2.VALUE,10) AS Value, 
'123' AS BusinessObjectKey, 
kfc.CHARACTERISTIC AS Characteristic
FROM ANZ_1069_AKUT kfc
JOIN PDP_ANZ_1069_AKUT kfc2 ON kfc.BO_KEY = kfc2.BO_KEY AND kfc.CHARACTERISTIC = kfc2.CHARACTERISTIC
WHERE kfc2.VALUE &lt;&gt; 0 AND kfc2.VALUE IS NOT NULL
) 
SELECT 'VGL_REL_1069_AKUT' AS KeyFigureName,
'123456' AS ProcessingRunId, 
'12345' AS WaveId, 
Characteristic, BusinessObjectKey, 
Value AS Value 
FROM ZDATA 
ORDER BY BusinessObjectKey;</v>
      </c>
    </row>
    <row r="418" spans="1:19" x14ac:dyDescent="0.2">
      <c r="A418" s="4">
        <v>1069</v>
      </c>
      <c r="B418" s="3">
        <v>2</v>
      </c>
      <c r="C418" s="3" t="s">
        <v>836</v>
      </c>
      <c r="D418" s="3" t="s">
        <v>828</v>
      </c>
      <c r="E418" s="3" t="s">
        <v>21</v>
      </c>
      <c r="F418" s="3" t="s">
        <v>54</v>
      </c>
      <c r="G418" s="3" t="s">
        <v>40</v>
      </c>
      <c r="I418" s="3" t="s">
        <v>41</v>
      </c>
      <c r="M418" s="3" t="s">
        <v>829</v>
      </c>
      <c r="N418" s="3" t="s">
        <v>43</v>
      </c>
      <c r="O418" s="3" t="s">
        <v>830</v>
      </c>
      <c r="P418" s="3" t="s">
        <v>55</v>
      </c>
      <c r="S418" s="3" t="str">
        <f t="shared" si="6"/>
        <v>WITH ZDATA AS
(SELECT TRUNC((NVL(kfc.VALUE,0)-NVL(kfc2.VALUE,0)) / kfc2.VALUE,10) AS Value, 
'123' AS BusinessObjectKey, 
kfc.CHARACTERISTIC AS Characteristic
FROM ANZ_1069_PSY kfc
JOIN PDP_ANZ_1069_PSY kfc2 ON kfc.BO_KEY = kfc2.BO_KEY AND kfc.CHARACTERISTIC = kfc2.CHARACTERISTIC
WHERE kfc2.VALUE &lt;&gt; 0 AND kfc2.VALUE IS NOT NULL
) 
SELECT 'VGL_REL_1069_PSY' AS KeyFigureName,
'123456' AS ProcessingRunId, 
'12345' AS WaveId, 
Characteristic, BusinessObjectKey, 
Value AS Value 
FROM ZDATA 
ORDER BY BusinessObjectKey;</v>
      </c>
    </row>
    <row r="419" spans="1:19" x14ac:dyDescent="0.2">
      <c r="A419" s="4">
        <v>1069</v>
      </c>
      <c r="B419" s="3">
        <v>2</v>
      </c>
      <c r="C419" s="3" t="s">
        <v>837</v>
      </c>
      <c r="D419" s="3" t="s">
        <v>832</v>
      </c>
      <c r="E419" s="3" t="s">
        <v>21</v>
      </c>
      <c r="F419" s="3" t="s">
        <v>54</v>
      </c>
      <c r="G419" s="3" t="s">
        <v>40</v>
      </c>
      <c r="I419" s="3" t="s">
        <v>41</v>
      </c>
      <c r="M419" s="3" t="s">
        <v>833</v>
      </c>
      <c r="N419" s="3" t="s">
        <v>43</v>
      </c>
      <c r="O419" s="3" t="s">
        <v>834</v>
      </c>
      <c r="P419" s="3" t="s">
        <v>55</v>
      </c>
      <c r="S419" s="3" t="str">
        <f t="shared" si="6"/>
        <v>WITH ZDATA AS
(SELECT TRUNC((NVL(kfc.VALUE,0)-NVL(kfc2.VALUE,0)) / kfc2.VALUE,10) AS Value, 
'123' AS BusinessObjectKey, 
kfc.CHARACTERISTIC AS Characteristic
FROM ANZ_1069_REHA kfc
JOIN PDP_ANZ_1069_REHA kfc2 ON kfc.BO_KEY = kfc2.BO_KEY AND kfc.CHARACTERISTIC = kfc2.CHARACTERISTIC
WHERE kfc2.VALUE &lt;&gt; 0 AND kfc2.VALUE IS NOT NULL
) 
SELECT 'VGL_REL_1069_REHA' AS KeyFigureName,
'123456' AS ProcessingRunId, 
'12345' AS WaveId, 
Characteristic, BusinessObjectKey, 
Value AS Value 
FROM ZDATA 
ORDER BY BusinessObjectKey;</v>
      </c>
    </row>
    <row r="420" spans="1:19" x14ac:dyDescent="0.2">
      <c r="A420" s="4">
        <v>1070</v>
      </c>
      <c r="B420" s="3">
        <v>1</v>
      </c>
      <c r="C420" s="3" t="s">
        <v>838</v>
      </c>
      <c r="D420" s="3" t="s">
        <v>839</v>
      </c>
      <c r="E420" s="3" t="s">
        <v>21</v>
      </c>
      <c r="F420" s="3" t="s">
        <v>840</v>
      </c>
      <c r="H420" s="3" t="s">
        <v>23</v>
      </c>
      <c r="I420" s="3" t="s">
        <v>21</v>
      </c>
      <c r="J420" s="3" t="s">
        <v>841</v>
      </c>
      <c r="K420" s="3" t="s">
        <v>63</v>
      </c>
      <c r="L420" s="3" t="s">
        <v>26</v>
      </c>
      <c r="M420" s="3" t="s">
        <v>842</v>
      </c>
      <c r="N420" s="3" t="s">
        <v>28</v>
      </c>
      <c r="P420" s="3" t="s">
        <v>843</v>
      </c>
      <c r="S420" s="3" t="str">
        <f t="shared" si="6"/>
        <v>WITH ZDATA AS
(SELECT med.UV_MEDI_ZUSATZ AS Value, 
'123' AS BusinessObjectKey, 
CASE WHEN 1=1 THEN 'MEDI_ZUSATZ' ELSE 'OTHER' 
END AS Characteristic
FROM MEDIKAMENT med
WHERE med.UV_MEDI_ZUSATZ IS NOT NULL
) 
SELECT 'ANZ_1070' AS KeyFigureName,
'123456' AS ProcessingRunId, 
'12345' AS WaveId, 
Characteristic, BusinessObjectKey, 
COUNT(*) AS Value 
FROM ZDATA 
GROUP BY Characteristic, BusinessObjectKey
ORDER BY BusinessObjectKey;</v>
      </c>
    </row>
    <row r="421" spans="1:19" x14ac:dyDescent="0.2">
      <c r="A421" s="4">
        <v>1103</v>
      </c>
      <c r="B421" s="3">
        <v>1</v>
      </c>
      <c r="C421" s="3" t="s">
        <v>844</v>
      </c>
      <c r="D421" s="3" t="s">
        <v>20</v>
      </c>
      <c r="E421" s="3" t="s">
        <v>21</v>
      </c>
      <c r="F421" s="3" t="s">
        <v>845</v>
      </c>
      <c r="H421" s="3" t="s">
        <v>846</v>
      </c>
      <c r="I421" s="3" t="s">
        <v>21</v>
      </c>
      <c r="J421" s="3" t="s">
        <v>125</v>
      </c>
      <c r="K421" s="3" t="s">
        <v>126</v>
      </c>
      <c r="L421" s="3" t="s">
        <v>26</v>
      </c>
      <c r="M421" s="3" t="s">
        <v>27</v>
      </c>
      <c r="N421" s="3" t="s">
        <v>28</v>
      </c>
      <c r="O421" s="3" t="s">
        <v>29</v>
      </c>
      <c r="Q421" s="3" t="s">
        <v>847</v>
      </c>
      <c r="S421" s="3" t="str">
        <f t="shared" si="6"/>
        <v>WITH ZDATA AS
(SELECT COUNT(per.uv_fall_id) AS Value, 
'123' AS BusinessObjectKey, 
CASE WHEN adm.UV_TARIF IN (1,2) THEN 'TARIF_1_2'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2" spans="1:19" x14ac:dyDescent="0.2">
      <c r="A422" s="4">
        <v>1103</v>
      </c>
      <c r="B422" s="3">
        <v>1</v>
      </c>
      <c r="C422" s="3" t="s">
        <v>844</v>
      </c>
      <c r="D422" s="3" t="s">
        <v>20</v>
      </c>
      <c r="E422" s="3" t="s">
        <v>21</v>
      </c>
      <c r="F422" s="3" t="s">
        <v>845</v>
      </c>
      <c r="H422" s="3" t="s">
        <v>846</v>
      </c>
      <c r="I422" s="3" t="s">
        <v>21</v>
      </c>
      <c r="J422" s="3" t="s">
        <v>127</v>
      </c>
      <c r="K422" s="3" t="s">
        <v>128</v>
      </c>
      <c r="L422" s="3" t="s">
        <v>26</v>
      </c>
      <c r="M422" s="3" t="s">
        <v>27</v>
      </c>
      <c r="N422" s="3" t="s">
        <v>28</v>
      </c>
      <c r="O422" s="3" t="s">
        <v>29</v>
      </c>
      <c r="Q422" s="3" t="s">
        <v>847</v>
      </c>
      <c r="S422" s="3" t="str">
        <f t="shared" si="6"/>
        <v>WITH ZDATA AS
(SELECT COUNT(per.uv_fall_id) AS Value, 
'123' AS BusinessObjectKey, 
CASE WHEN adm.UV_TARIF IN (5,6) THEN 'TARIF_5_6'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3" spans="1:19" x14ac:dyDescent="0.2">
      <c r="A423" s="4">
        <v>1103</v>
      </c>
      <c r="B423" s="3">
        <v>1</v>
      </c>
      <c r="C423" s="3" t="s">
        <v>844</v>
      </c>
      <c r="D423" s="3" t="s">
        <v>20</v>
      </c>
      <c r="E423" s="3" t="s">
        <v>21</v>
      </c>
      <c r="F423" s="3" t="s">
        <v>845</v>
      </c>
      <c r="H423" s="3" t="s">
        <v>846</v>
      </c>
      <c r="I423" s="3" t="s">
        <v>21</v>
      </c>
      <c r="J423" s="3" t="s">
        <v>129</v>
      </c>
      <c r="K423" s="3" t="s">
        <v>130</v>
      </c>
      <c r="L423" s="3" t="s">
        <v>26</v>
      </c>
      <c r="M423" s="3" t="s">
        <v>27</v>
      </c>
      <c r="N423" s="3" t="s">
        <v>28</v>
      </c>
      <c r="O423" s="3" t="s">
        <v>29</v>
      </c>
      <c r="Q423" s="3" t="s">
        <v>847</v>
      </c>
      <c r="S423" s="3" t="str">
        <f t="shared" si="6"/>
        <v>WITH ZDATA AS
(SELECT COUNT(per.uv_fall_id) AS Value, 
'123' AS BusinessObjectKey, 
CASE WHEN adm.UV_TARIF IN (3,4) THEN 'TARIF_3_4'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4" spans="1:19" x14ac:dyDescent="0.2">
      <c r="A424" s="4">
        <v>1103</v>
      </c>
      <c r="B424" s="3">
        <v>2</v>
      </c>
      <c r="C424" s="3" t="s">
        <v>848</v>
      </c>
      <c r="D424" s="3" t="s">
        <v>849</v>
      </c>
      <c r="E424" s="3" t="s">
        <v>21</v>
      </c>
      <c r="F424" s="3" t="s">
        <v>54</v>
      </c>
      <c r="G424" s="3" t="s">
        <v>40</v>
      </c>
      <c r="I424" s="3" t="s">
        <v>41</v>
      </c>
      <c r="M424" s="3" t="s">
        <v>850</v>
      </c>
      <c r="N424" s="3" t="s">
        <v>43</v>
      </c>
      <c r="O424" s="3" t="s">
        <v>851</v>
      </c>
      <c r="P424" s="3" t="s">
        <v>55</v>
      </c>
      <c r="S424" s="3" t="str">
        <f t="shared" si="6"/>
        <v>WITH ZDATA AS
(SELECT TRUNC((NVL(kfc.VALUE,0)-NVL(kfc2.VALUE,0)) / kfc2.VALUE,10) AS Value, 
'123' AS BusinessObjectKey, 
kfc.CHARACTERISTIC AS Characteristic
FROM AVG_1103 kfc
JOIN PDP_AVG_1103 kfc2 ON kfc.BO_KEY = kfc2.BO_KEY AND kfc.CHARACTERISTIC = kfc2.CHARACTERISTIC
WHERE kfc2.VALUE &lt;&gt; 0 AND kfc2.VALUE IS NOT NULL
) 
SELECT 'VGL_AVG_1103' AS KeyFigureName,
'123456' AS ProcessingRunId, 
'12345' AS WaveId, 
Characteristic, BusinessObjectKey, 
Value AS Value 
FROM ZDATA 
ORDER BY BusinessObjectKey;</v>
      </c>
    </row>
    <row r="425" spans="1:19" x14ac:dyDescent="0.2">
      <c r="A425" s="4">
        <v>1107</v>
      </c>
      <c r="B425" s="3">
        <v>1</v>
      </c>
      <c r="C425" s="3" t="s">
        <v>852</v>
      </c>
      <c r="D425" s="3" t="s">
        <v>89</v>
      </c>
      <c r="E425" s="3" t="s">
        <v>21</v>
      </c>
      <c r="F425" s="3" t="s">
        <v>853</v>
      </c>
      <c r="H425" s="3" t="s">
        <v>846</v>
      </c>
      <c r="I425" s="3" t="s">
        <v>21</v>
      </c>
      <c r="J425" s="3" t="s">
        <v>125</v>
      </c>
      <c r="K425" s="3" t="s">
        <v>126</v>
      </c>
      <c r="L425" s="3" t="s">
        <v>26</v>
      </c>
      <c r="M425" s="3" t="s">
        <v>27</v>
      </c>
      <c r="N425" s="3" t="s">
        <v>28</v>
      </c>
      <c r="S425" s="3" t="str">
        <f t="shared" si="6"/>
        <v>WITH ZDATA AS
(SELECT adm.UV_ALTER AS Value, 
'123' AS BusinessObjectKey, 
CASE WHEN adm.UV_TARIF IN (1,2) THEN 'TARIF_1_2'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6" spans="1:19" x14ac:dyDescent="0.2">
      <c r="A426" s="4">
        <v>1107</v>
      </c>
      <c r="B426" s="3">
        <v>1</v>
      </c>
      <c r="C426" s="3" t="s">
        <v>852</v>
      </c>
      <c r="D426" s="3" t="s">
        <v>89</v>
      </c>
      <c r="E426" s="3" t="s">
        <v>21</v>
      </c>
      <c r="F426" s="3" t="s">
        <v>853</v>
      </c>
      <c r="H426" s="3" t="s">
        <v>846</v>
      </c>
      <c r="I426" s="3" t="s">
        <v>21</v>
      </c>
      <c r="J426" s="3" t="s">
        <v>127</v>
      </c>
      <c r="K426" s="3" t="s">
        <v>128</v>
      </c>
      <c r="L426" s="3" t="s">
        <v>26</v>
      </c>
      <c r="M426" s="3" t="s">
        <v>27</v>
      </c>
      <c r="N426" s="3" t="s">
        <v>28</v>
      </c>
      <c r="S426" s="3" t="str">
        <f t="shared" si="6"/>
        <v>WITH ZDATA AS
(SELECT adm.UV_ALTER AS Value, 
'123' AS BusinessObjectKey, 
CASE WHEN adm.UV_TARIF IN (5,6) THEN 'TARIF_5_6'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7" spans="1:19" x14ac:dyDescent="0.2">
      <c r="A427" s="4">
        <v>1107</v>
      </c>
      <c r="B427" s="3">
        <v>1</v>
      </c>
      <c r="C427" s="3" t="s">
        <v>852</v>
      </c>
      <c r="D427" s="3" t="s">
        <v>89</v>
      </c>
      <c r="E427" s="3" t="s">
        <v>21</v>
      </c>
      <c r="F427" s="3" t="s">
        <v>853</v>
      </c>
      <c r="H427" s="3" t="s">
        <v>846</v>
      </c>
      <c r="I427" s="3" t="s">
        <v>21</v>
      </c>
      <c r="J427" s="3" t="s">
        <v>129</v>
      </c>
      <c r="K427" s="3" t="s">
        <v>130</v>
      </c>
      <c r="L427" s="3" t="s">
        <v>26</v>
      </c>
      <c r="M427" s="3" t="s">
        <v>27</v>
      </c>
      <c r="N427" s="3" t="s">
        <v>28</v>
      </c>
      <c r="S427" s="3" t="str">
        <f t="shared" si="6"/>
        <v>WITH ZDATA AS
(SELECT adm.UV_ALTER AS Value, 
'123' AS BusinessObjectKey, 
CASE WHEN adm.UV_TARIF IN (3,4) THEN 'TARIF_3_4'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8" spans="1:19" x14ac:dyDescent="0.2">
      <c r="A428" s="4">
        <v>1107</v>
      </c>
      <c r="B428" s="3">
        <v>2</v>
      </c>
      <c r="C428" s="3" t="s">
        <v>854</v>
      </c>
      <c r="D428" s="3" t="s">
        <v>855</v>
      </c>
      <c r="E428" s="3" t="s">
        <v>21</v>
      </c>
      <c r="F428" s="3" t="s">
        <v>54</v>
      </c>
      <c r="G428" s="3" t="s">
        <v>40</v>
      </c>
      <c r="I428" s="3" t="s">
        <v>41</v>
      </c>
      <c r="M428" s="3" t="s">
        <v>856</v>
      </c>
      <c r="N428" s="3" t="s">
        <v>43</v>
      </c>
      <c r="O428" s="3" t="s">
        <v>857</v>
      </c>
      <c r="P428" s="3" t="s">
        <v>55</v>
      </c>
      <c r="S428" s="3" t="str">
        <f t="shared" si="6"/>
        <v>WITH ZDATA AS
(SELECT TRUNC((NVL(kfc.VALUE,0)-NVL(kfc2.VALUE,0)) / kfc2.VALUE,10) AS Value, 
'123' AS BusinessObjectKey, 
kfc.CHARACTERISTIC AS Characteristic
FROM AVG_1107 kfc
JOIN PDP_AVG_1107 kfc2 ON kfc.BO_KEY = kfc2.BO_KEY AND kfc.CHARACTERISTIC = kfc2.CHARACTERISTIC
WHERE kfc2.VALUE &lt;&gt; 0 AND kfc2.VALUE IS NOT NULL
) 
SELECT 'VGL_AVG_1107' AS KeyFigureName,
'123456' AS ProcessingRunId, 
'12345' AS WaveId, 
Characteristic, BusinessObjectKey, 
Value AS Value 
FROM ZDATA 
ORDER BY BusinessObjectKey;</v>
      </c>
    </row>
    <row r="429" spans="1:19" x14ac:dyDescent="0.2">
      <c r="A429" s="4">
        <v>1109</v>
      </c>
      <c r="B429" s="3">
        <v>1</v>
      </c>
      <c r="C429" s="3" t="s">
        <v>858</v>
      </c>
      <c r="D429" s="3" t="s">
        <v>89</v>
      </c>
      <c r="E429" s="3" t="s">
        <v>21</v>
      </c>
      <c r="F429" s="3" t="s">
        <v>859</v>
      </c>
      <c r="H429" s="3" t="s">
        <v>23</v>
      </c>
      <c r="I429" s="3" t="s">
        <v>21</v>
      </c>
      <c r="J429" s="3" t="s">
        <v>860</v>
      </c>
      <c r="K429" s="3" t="s">
        <v>861</v>
      </c>
      <c r="L429" s="3" t="s">
        <v>26</v>
      </c>
      <c r="M429" s="3" t="s">
        <v>27</v>
      </c>
      <c r="N429" s="3" t="s">
        <v>28</v>
      </c>
      <c r="S429" s="3" t="str">
        <f t="shared" si="6"/>
        <v>WITH ZDATA AS
(SELECT adm.UV_NATIONALITAET AS Value, 
'123' AS BusinessObjectKey, 
CASE WHEN adm.UV_NATIONALITAET='CHE' THEN 'NATIONALITAET_CHE'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0" spans="1:19" x14ac:dyDescent="0.2">
      <c r="A430" s="4">
        <v>1109</v>
      </c>
      <c r="B430" s="3">
        <v>1</v>
      </c>
      <c r="C430" s="3" t="s">
        <v>858</v>
      </c>
      <c r="D430" s="3" t="s">
        <v>89</v>
      </c>
      <c r="E430" s="3" t="s">
        <v>21</v>
      </c>
      <c r="F430" s="3" t="s">
        <v>859</v>
      </c>
      <c r="H430" s="3" t="s">
        <v>23</v>
      </c>
      <c r="I430" s="3" t="s">
        <v>21</v>
      </c>
      <c r="J430" s="3" t="s">
        <v>862</v>
      </c>
      <c r="K430" s="3" t="s">
        <v>863</v>
      </c>
      <c r="L430" s="3" t="s">
        <v>26</v>
      </c>
      <c r="M430" s="3" t="s">
        <v>27</v>
      </c>
      <c r="N430" s="3" t="s">
        <v>28</v>
      </c>
      <c r="S430" s="3" t="str">
        <f t="shared" si="6"/>
        <v>WITH ZDATA AS
(SELECT adm.UV_NATIONALITAET AS Value, 
'123' AS BusinessObjectKey, 
CASE WHEN adm.UV_NATIONALITAET='FRA' THEN 'NATIONALITAET_FRA'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1" spans="1:19" x14ac:dyDescent="0.2">
      <c r="A431" s="4">
        <v>1109</v>
      </c>
      <c r="B431" s="3">
        <v>1</v>
      </c>
      <c r="C431" s="3" t="s">
        <v>858</v>
      </c>
      <c r="D431" s="3" t="s">
        <v>89</v>
      </c>
      <c r="E431" s="3" t="s">
        <v>21</v>
      </c>
      <c r="F431" s="3" t="s">
        <v>859</v>
      </c>
      <c r="H431" s="3" t="s">
        <v>23</v>
      </c>
      <c r="I431" s="3" t="s">
        <v>21</v>
      </c>
      <c r="J431" s="3" t="s">
        <v>864</v>
      </c>
      <c r="K431" s="3" t="s">
        <v>865</v>
      </c>
      <c r="L431" s="3" t="s">
        <v>26</v>
      </c>
      <c r="M431" s="3" t="s">
        <v>27</v>
      </c>
      <c r="N431" s="3" t="s">
        <v>28</v>
      </c>
      <c r="S431" s="3" t="str">
        <f t="shared" si="6"/>
        <v>WITH ZDATA AS
(SELECT adm.UV_NATIONALITAET AS Value, 
'123' AS BusinessObjectKey, 
CASE WHEN adm.UV_NATIONALITAET='DEU' THEN 'NATIONALITAET_DEU'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2" spans="1:19" x14ac:dyDescent="0.2">
      <c r="A432" s="4">
        <v>1109</v>
      </c>
      <c r="B432" s="3">
        <v>1</v>
      </c>
      <c r="C432" s="3" t="s">
        <v>858</v>
      </c>
      <c r="D432" s="3" t="s">
        <v>89</v>
      </c>
      <c r="E432" s="3" t="s">
        <v>21</v>
      </c>
      <c r="F432" s="3" t="s">
        <v>859</v>
      </c>
      <c r="H432" s="3" t="s">
        <v>23</v>
      </c>
      <c r="I432" s="3" t="s">
        <v>21</v>
      </c>
      <c r="J432" s="3" t="s">
        <v>866</v>
      </c>
      <c r="K432" s="3" t="s">
        <v>867</v>
      </c>
      <c r="L432" s="3" t="s">
        <v>26</v>
      </c>
      <c r="M432" s="3" t="s">
        <v>27</v>
      </c>
      <c r="N432" s="3" t="s">
        <v>28</v>
      </c>
      <c r="S432" s="3" t="str">
        <f t="shared" si="6"/>
        <v>WITH ZDATA AS
(SELECT adm.UV_NATIONALITAET AS Value, 
'123' AS BusinessObjectKey, 
CASE WHEN adm.UV_NATIONALITAET='ITA' THEN 'NATIONALITAET_ITA'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3" spans="1:19" x14ac:dyDescent="0.2">
      <c r="A433" s="4">
        <v>1109</v>
      </c>
      <c r="B433" s="3">
        <v>1</v>
      </c>
      <c r="C433" s="3" t="s">
        <v>858</v>
      </c>
      <c r="D433" s="3" t="s">
        <v>89</v>
      </c>
      <c r="E433" s="3" t="s">
        <v>21</v>
      </c>
      <c r="F433" s="3" t="s">
        <v>859</v>
      </c>
      <c r="H433" s="3" t="s">
        <v>23</v>
      </c>
      <c r="I433" s="3" t="s">
        <v>21</v>
      </c>
      <c r="J433" s="3" t="s">
        <v>868</v>
      </c>
      <c r="K433" s="3" t="s">
        <v>869</v>
      </c>
      <c r="L433" s="3" t="s">
        <v>26</v>
      </c>
      <c r="M433" s="3" t="s">
        <v>27</v>
      </c>
      <c r="N433" s="3" t="s">
        <v>28</v>
      </c>
      <c r="S433" s="3" t="str">
        <f t="shared" si="6"/>
        <v>WITH ZDATA AS
(SELECT adm.UV_NATIONALITAET AS Value, 
'123' AS BusinessObjectKey, 
CASE WHEN adm.UV_NATIONALITAET='AUT' THEN 'NATIONALITAET_AUT'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4" spans="1:19" x14ac:dyDescent="0.2">
      <c r="A434" s="4">
        <v>1109</v>
      </c>
      <c r="B434" s="3">
        <v>1</v>
      </c>
      <c r="C434" s="3" t="s">
        <v>858</v>
      </c>
      <c r="D434" s="3" t="s">
        <v>89</v>
      </c>
      <c r="E434" s="3" t="s">
        <v>21</v>
      </c>
      <c r="F434" s="3" t="s">
        <v>859</v>
      </c>
      <c r="H434" s="3" t="s">
        <v>23</v>
      </c>
      <c r="I434" s="3" t="s">
        <v>21</v>
      </c>
      <c r="J434" s="3" t="s">
        <v>870</v>
      </c>
      <c r="K434" s="3" t="s">
        <v>871</v>
      </c>
      <c r="L434" s="3" t="s">
        <v>26</v>
      </c>
      <c r="M434" s="3" t="s">
        <v>27</v>
      </c>
      <c r="N434" s="3" t="s">
        <v>28</v>
      </c>
      <c r="S434" s="3" t="str">
        <f t="shared" si="6"/>
        <v>WITH ZDATA AS
(SELECT adm.UV_NATIONALITAET AS Value, 
'123' AS BusinessObjectKey, 
CASE WHEN adm.UV_NATIONALITAET='LIE' THEN 'NATIONALITAET_LIE'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5" spans="1:19" x14ac:dyDescent="0.2">
      <c r="A435" s="4">
        <v>1115</v>
      </c>
      <c r="B435" s="3">
        <v>1</v>
      </c>
      <c r="C435" s="3" t="s">
        <v>872</v>
      </c>
      <c r="D435" s="3" t="s">
        <v>89</v>
      </c>
      <c r="E435" s="3" t="s">
        <v>21</v>
      </c>
      <c r="F435" s="3" t="s">
        <v>873</v>
      </c>
      <c r="H435" s="3" t="s">
        <v>23</v>
      </c>
      <c r="I435" s="3" t="s">
        <v>21</v>
      </c>
      <c r="J435" s="3" t="s">
        <v>125</v>
      </c>
      <c r="K435" s="3" t="s">
        <v>126</v>
      </c>
      <c r="L435" s="3" t="s">
        <v>26</v>
      </c>
      <c r="M435" s="3" t="s">
        <v>27</v>
      </c>
      <c r="N435" s="3" t="s">
        <v>28</v>
      </c>
      <c r="P435" s="3" t="s">
        <v>92</v>
      </c>
      <c r="S435" s="3" t="str">
        <f t="shared" si="6"/>
        <v>WITH ZDATA AS
(SELECT adm.UV_FALL_ID AS Value, 
'123' AS BusinessObjectKey, 
CASE WHEN adm.UV_TARIF IN (1,2) THEN 'TARIF_1_2'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6" spans="1:19" x14ac:dyDescent="0.2">
      <c r="A436" s="4">
        <v>1115</v>
      </c>
      <c r="B436" s="3">
        <v>1</v>
      </c>
      <c r="C436" s="3" t="s">
        <v>872</v>
      </c>
      <c r="D436" s="3" t="s">
        <v>89</v>
      </c>
      <c r="E436" s="3" t="s">
        <v>21</v>
      </c>
      <c r="F436" s="3" t="s">
        <v>873</v>
      </c>
      <c r="H436" s="3" t="s">
        <v>23</v>
      </c>
      <c r="I436" s="3" t="s">
        <v>21</v>
      </c>
      <c r="J436" s="3" t="s">
        <v>127</v>
      </c>
      <c r="K436" s="3" t="s">
        <v>128</v>
      </c>
      <c r="L436" s="3" t="s">
        <v>26</v>
      </c>
      <c r="M436" s="3" t="s">
        <v>27</v>
      </c>
      <c r="N436" s="3" t="s">
        <v>28</v>
      </c>
      <c r="P436" s="3" t="s">
        <v>92</v>
      </c>
      <c r="S436" s="3" t="str">
        <f t="shared" si="6"/>
        <v>WITH ZDATA AS
(SELECT adm.UV_FALL_ID AS Value, 
'123' AS BusinessObjectKey, 
CASE WHEN adm.UV_TARIF IN (5,6) THEN 'TARIF_5_6'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7" spans="1:19" x14ac:dyDescent="0.2">
      <c r="A437" s="4">
        <v>1115</v>
      </c>
      <c r="B437" s="3">
        <v>1</v>
      </c>
      <c r="C437" s="3" t="s">
        <v>872</v>
      </c>
      <c r="D437" s="3" t="s">
        <v>89</v>
      </c>
      <c r="E437" s="3" t="s">
        <v>21</v>
      </c>
      <c r="F437" s="3" t="s">
        <v>873</v>
      </c>
      <c r="H437" s="3" t="s">
        <v>23</v>
      </c>
      <c r="I437" s="3" t="s">
        <v>21</v>
      </c>
      <c r="J437" s="3" t="s">
        <v>129</v>
      </c>
      <c r="K437" s="3" t="s">
        <v>130</v>
      </c>
      <c r="L437" s="3" t="s">
        <v>26</v>
      </c>
      <c r="M437" s="3" t="s">
        <v>27</v>
      </c>
      <c r="N437" s="3" t="s">
        <v>28</v>
      </c>
      <c r="P437" s="3" t="s">
        <v>92</v>
      </c>
      <c r="S437" s="3" t="str">
        <f t="shared" si="6"/>
        <v>WITH ZDATA AS
(SELECT adm.UV_FALL_ID AS Value, 
'123' AS BusinessObjectKey, 
CASE WHEN adm.UV_TARIF IN (3,4) THEN 'TARIF_3_4'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8" spans="1:19" x14ac:dyDescent="0.2">
      <c r="A438" s="4">
        <v>1115</v>
      </c>
      <c r="B438" s="3">
        <v>1</v>
      </c>
      <c r="C438" s="3" t="s">
        <v>874</v>
      </c>
      <c r="D438" s="3" t="s">
        <v>875</v>
      </c>
      <c r="E438" s="3" t="s">
        <v>21</v>
      </c>
      <c r="F438" s="3" t="s">
        <v>876</v>
      </c>
      <c r="H438" s="3" t="s">
        <v>23</v>
      </c>
      <c r="I438" s="3" t="s">
        <v>21</v>
      </c>
      <c r="J438" s="3" t="s">
        <v>125</v>
      </c>
      <c r="K438" s="3" t="s">
        <v>126</v>
      </c>
      <c r="L438" s="3" t="s">
        <v>26</v>
      </c>
      <c r="M438" s="3" t="s">
        <v>27</v>
      </c>
      <c r="N438" s="3" t="s">
        <v>28</v>
      </c>
      <c r="O438" s="3" t="s">
        <v>877</v>
      </c>
      <c r="P438" s="3" t="s">
        <v>92</v>
      </c>
      <c r="S438" s="3" t="str">
        <f t="shared" si="6"/>
        <v>WITH ZDATA AS
(SELECT dia.UV_DIAGNOSE_ID AS Value, 
'123' AS BusinessObjectKey, 
CASE WHEN adm.UV_TARIF IN (1,2) THEN 'TARIF_1_2'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39" spans="1:19" x14ac:dyDescent="0.2">
      <c r="A439" s="4">
        <v>1115</v>
      </c>
      <c r="B439" s="3">
        <v>1</v>
      </c>
      <c r="C439" s="3" t="s">
        <v>874</v>
      </c>
      <c r="D439" s="3" t="s">
        <v>875</v>
      </c>
      <c r="E439" s="3" t="s">
        <v>21</v>
      </c>
      <c r="F439" s="3" t="s">
        <v>876</v>
      </c>
      <c r="H439" s="3" t="s">
        <v>23</v>
      </c>
      <c r="I439" s="3" t="s">
        <v>21</v>
      </c>
      <c r="J439" s="3" t="s">
        <v>127</v>
      </c>
      <c r="K439" s="3" t="s">
        <v>128</v>
      </c>
      <c r="L439" s="3" t="s">
        <v>26</v>
      </c>
      <c r="M439" s="3" t="s">
        <v>27</v>
      </c>
      <c r="N439" s="3" t="s">
        <v>28</v>
      </c>
      <c r="O439" s="3" t="s">
        <v>877</v>
      </c>
      <c r="P439" s="3" t="s">
        <v>92</v>
      </c>
      <c r="S439" s="3" t="str">
        <f t="shared" si="6"/>
        <v>WITH ZDATA AS
(SELECT dia.UV_DIAGNOSE_ID AS Value, 
'123' AS BusinessObjectKey, 
CASE WHEN adm.UV_TARIF IN (5,6) THEN 'TARIF_5_6'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40" spans="1:19" x14ac:dyDescent="0.2">
      <c r="A440" s="4">
        <v>1115</v>
      </c>
      <c r="B440" s="3">
        <v>1</v>
      </c>
      <c r="C440" s="3" t="s">
        <v>874</v>
      </c>
      <c r="D440" s="3" t="s">
        <v>875</v>
      </c>
      <c r="E440" s="3" t="s">
        <v>21</v>
      </c>
      <c r="F440" s="3" t="s">
        <v>876</v>
      </c>
      <c r="H440" s="3" t="s">
        <v>23</v>
      </c>
      <c r="I440" s="3" t="s">
        <v>21</v>
      </c>
      <c r="J440" s="3" t="s">
        <v>129</v>
      </c>
      <c r="K440" s="3" t="s">
        <v>130</v>
      </c>
      <c r="L440" s="3" t="s">
        <v>26</v>
      </c>
      <c r="M440" s="3" t="s">
        <v>27</v>
      </c>
      <c r="N440" s="3" t="s">
        <v>28</v>
      </c>
      <c r="O440" s="3" t="s">
        <v>877</v>
      </c>
      <c r="P440" s="3" t="s">
        <v>92</v>
      </c>
      <c r="S440" s="3" t="str">
        <f t="shared" si="6"/>
        <v>WITH ZDATA AS
(SELECT dia.UV_DIAGNOSE_ID AS Value, 
'123' AS BusinessObjectKey, 
CASE WHEN adm.UV_TARIF IN (3,4) THEN 'TARIF_3_4'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41" spans="1:19" x14ac:dyDescent="0.2">
      <c r="A441" s="4">
        <v>1115</v>
      </c>
      <c r="B441" s="3">
        <v>2</v>
      </c>
      <c r="C441" s="3" t="s">
        <v>878</v>
      </c>
      <c r="D441" s="3" t="s">
        <v>879</v>
      </c>
      <c r="E441" s="3" t="s">
        <v>21</v>
      </c>
      <c r="F441" s="3" t="s">
        <v>101</v>
      </c>
      <c r="G441" s="3" t="s">
        <v>40</v>
      </c>
      <c r="I441" s="3" t="s">
        <v>41</v>
      </c>
      <c r="M441" s="3" t="s">
        <v>880</v>
      </c>
      <c r="N441" s="3" t="s">
        <v>43</v>
      </c>
      <c r="O441" s="3" t="s">
        <v>881</v>
      </c>
      <c r="P441" s="3" t="s">
        <v>55</v>
      </c>
      <c r="S441" s="3" t="str">
        <f t="shared" si="6"/>
        <v>WITH ZDATA AS
(SELECT TRUNC(NVL(kfc.VALUE,0) / NVL(kfc2.VALUE,0),10) AS Value, 
'123' AS BusinessObjectKey, 
kfc.CHARACTERISTIC AS Characteristic
FROM ANZ_DIA_1115 kfc
JOIN ANZ_ADM_1115_1117 kfc2 ON kfc.BO_KEY = kfc2.BO_KEY AND kfc.CHARACTERISTIC = kfc2.CHARACTERISTIC
WHERE kfc2.VALUE &lt;&gt; 0 AND kfc2.VALUE IS NOT NULL
) 
SELECT 'AVG_1115' AS KeyFigureName,
'123456' AS ProcessingRunId, 
'12345' AS WaveId, 
Characteristic, BusinessObjectKey, 
Value AS Value 
FROM ZDATA 
ORDER BY BusinessObjectKey;</v>
      </c>
    </row>
    <row r="442" spans="1:19" x14ac:dyDescent="0.2">
      <c r="A442" s="4">
        <v>1115</v>
      </c>
      <c r="B442" s="3">
        <v>3</v>
      </c>
      <c r="C442" s="3" t="s">
        <v>882</v>
      </c>
      <c r="D442" s="3" t="s">
        <v>883</v>
      </c>
      <c r="E442" s="3" t="s">
        <v>21</v>
      </c>
      <c r="F442" s="3" t="s">
        <v>54</v>
      </c>
      <c r="G442" s="3" t="s">
        <v>40</v>
      </c>
      <c r="I442" s="3" t="s">
        <v>41</v>
      </c>
      <c r="M442" s="3" t="s">
        <v>884</v>
      </c>
      <c r="N442" s="3" t="s">
        <v>43</v>
      </c>
      <c r="O442" s="3" t="s">
        <v>885</v>
      </c>
      <c r="P442" s="3" t="s">
        <v>55</v>
      </c>
      <c r="S442" s="3" t="str">
        <f t="shared" si="6"/>
        <v>WITH ZDATA AS
(SELECT TRUNC((NVL(kfc.VALUE,0)-NVL(kfc2.VALUE,0)) / kfc2.VALUE,10) AS Value, 
'123' AS BusinessObjectKey, 
kfc.CHARACTERISTIC AS Characteristic
FROM AVG_1115 kfc
JOIN PDP_AVG_1115 kfc2 ON kfc.BO_KEY = kfc2.BO_KEY AND kfc.CHARACTERISTIC = kfc2.CHARACTERISTIC
WHERE kfc2.VALUE &lt;&gt; 0 AND kfc2.VALUE IS NOT NULL
) 
SELECT 'VGL_AVG_1115' AS KeyFigureName,
'123456' AS ProcessingRunId, 
'12345' AS WaveId, 
Characteristic, BusinessObjectKey, 
Value AS Value 
FROM ZDATA 
ORDER BY BusinessObjectKey;</v>
      </c>
    </row>
    <row r="443" spans="1:19" x14ac:dyDescent="0.2">
      <c r="A443" s="4">
        <v>1117</v>
      </c>
      <c r="B443" s="3">
        <v>1</v>
      </c>
      <c r="C443" s="3" t="s">
        <v>886</v>
      </c>
      <c r="D443" s="3" t="s">
        <v>887</v>
      </c>
      <c r="E443" s="3" t="s">
        <v>21</v>
      </c>
      <c r="F443" s="3" t="s">
        <v>888</v>
      </c>
      <c r="H443" s="3" t="s">
        <v>23</v>
      </c>
      <c r="I443" s="3" t="s">
        <v>21</v>
      </c>
      <c r="J443" s="3" t="s">
        <v>125</v>
      </c>
      <c r="K443" s="3" t="s">
        <v>126</v>
      </c>
      <c r="L443" s="3" t="s">
        <v>26</v>
      </c>
      <c r="M443" s="3" t="s">
        <v>27</v>
      </c>
      <c r="N443" s="3" t="s">
        <v>28</v>
      </c>
      <c r="O443" s="3" t="s">
        <v>889</v>
      </c>
      <c r="P443" s="3" t="s">
        <v>92</v>
      </c>
      <c r="S443" s="3" t="str">
        <f t="shared" si="6"/>
        <v>WITH ZDATA AS
(SELECT beh.UV_BEHANDLUNG_ID AS Value, 
'123' AS BusinessObjectKey, 
CASE WHEN adm.UV_TARIF IN (1,2) THEN 'TARIF_1_2'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4" spans="1:19" x14ac:dyDescent="0.2">
      <c r="A444" s="4">
        <v>1117</v>
      </c>
      <c r="B444" s="3">
        <v>1</v>
      </c>
      <c r="C444" s="3" t="s">
        <v>886</v>
      </c>
      <c r="D444" s="3" t="s">
        <v>887</v>
      </c>
      <c r="E444" s="3" t="s">
        <v>21</v>
      </c>
      <c r="F444" s="3" t="s">
        <v>888</v>
      </c>
      <c r="H444" s="3" t="s">
        <v>23</v>
      </c>
      <c r="I444" s="3" t="s">
        <v>21</v>
      </c>
      <c r="J444" s="3" t="s">
        <v>127</v>
      </c>
      <c r="K444" s="3" t="s">
        <v>128</v>
      </c>
      <c r="L444" s="3" t="s">
        <v>26</v>
      </c>
      <c r="M444" s="3" t="s">
        <v>27</v>
      </c>
      <c r="N444" s="3" t="s">
        <v>28</v>
      </c>
      <c r="O444" s="3" t="s">
        <v>889</v>
      </c>
      <c r="P444" s="3" t="s">
        <v>92</v>
      </c>
      <c r="S444" s="3" t="str">
        <f t="shared" si="6"/>
        <v>WITH ZDATA AS
(SELECT beh.UV_BEHANDLUNG_ID AS Value, 
'123' AS BusinessObjectKey, 
CASE WHEN adm.UV_TARIF IN (5,6) THEN 'TARIF_5_6'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5" spans="1:19" x14ac:dyDescent="0.2">
      <c r="A445" s="4">
        <v>1117</v>
      </c>
      <c r="B445" s="3">
        <v>1</v>
      </c>
      <c r="C445" s="3" t="s">
        <v>886</v>
      </c>
      <c r="D445" s="3" t="s">
        <v>887</v>
      </c>
      <c r="E445" s="3" t="s">
        <v>21</v>
      </c>
      <c r="F445" s="3" t="s">
        <v>888</v>
      </c>
      <c r="H445" s="3" t="s">
        <v>23</v>
      </c>
      <c r="I445" s="3" t="s">
        <v>21</v>
      </c>
      <c r="J445" s="3" t="s">
        <v>129</v>
      </c>
      <c r="K445" s="3" t="s">
        <v>130</v>
      </c>
      <c r="L445" s="3" t="s">
        <v>26</v>
      </c>
      <c r="M445" s="3" t="s">
        <v>27</v>
      </c>
      <c r="N445" s="3" t="s">
        <v>28</v>
      </c>
      <c r="O445" s="3" t="s">
        <v>889</v>
      </c>
      <c r="P445" s="3" t="s">
        <v>92</v>
      </c>
      <c r="S445" s="3" t="str">
        <f t="shared" si="6"/>
        <v>WITH ZDATA AS
(SELECT beh.UV_BEHANDLUNG_ID AS Value, 
'123' AS BusinessObjectKey, 
CASE WHEN adm.UV_TARIF IN (3,4) THEN 'TARIF_3_4'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6" spans="1:19" x14ac:dyDescent="0.2">
      <c r="A446" s="4">
        <v>1117</v>
      </c>
      <c r="B446" s="3">
        <v>2</v>
      </c>
      <c r="C446" s="3" t="s">
        <v>890</v>
      </c>
      <c r="D446" s="3" t="s">
        <v>891</v>
      </c>
      <c r="E446" s="3" t="s">
        <v>21</v>
      </c>
      <c r="F446" s="3" t="s">
        <v>101</v>
      </c>
      <c r="G446" s="3" t="s">
        <v>40</v>
      </c>
      <c r="I446" s="3" t="s">
        <v>41</v>
      </c>
      <c r="M446" s="3" t="s">
        <v>892</v>
      </c>
      <c r="N446" s="3" t="s">
        <v>43</v>
      </c>
      <c r="O446" s="3" t="s">
        <v>881</v>
      </c>
      <c r="P446" s="3" t="s">
        <v>55</v>
      </c>
      <c r="S446" s="3" t="str">
        <f t="shared" si="6"/>
        <v>WITH ZDATA AS
(SELECT TRUNC(NVL(kfc.VALUE,0) / NVL(kfc2.VALUE,0),10) AS Value, 
'123' AS BusinessObjectKey, 
kfc.CHARACTERISTIC AS Characteristic
FROM ANZ_BEH_1117 kfc
JOIN ANZ_ADM_1115_1117 kfc2 ON kfc.BO_KEY = kfc2.BO_KEY AND kfc.CHARACTERISTIC = kfc2.CHARACTERISTIC
WHERE kfc2.VALUE &lt;&gt; 0 AND kfc2.VALUE IS NOT NULL
) 
SELECT 'AVG_1117' AS KeyFigureName,
'123456' AS ProcessingRunId, 
'12345' AS WaveId, 
Characteristic, BusinessObjectKey, 
Value AS Value 
FROM ZDATA 
ORDER BY BusinessObjectKey;</v>
      </c>
    </row>
    <row r="447" spans="1:19" x14ac:dyDescent="0.2">
      <c r="A447" s="4">
        <v>1117</v>
      </c>
      <c r="B447" s="3">
        <v>3</v>
      </c>
      <c r="C447" s="3" t="s">
        <v>893</v>
      </c>
      <c r="D447" s="3" t="s">
        <v>894</v>
      </c>
      <c r="E447" s="3" t="s">
        <v>21</v>
      </c>
      <c r="F447" s="3" t="s">
        <v>54</v>
      </c>
      <c r="G447" s="3" t="s">
        <v>40</v>
      </c>
      <c r="I447" s="3" t="s">
        <v>41</v>
      </c>
      <c r="M447" s="3" t="s">
        <v>895</v>
      </c>
      <c r="N447" s="3" t="s">
        <v>43</v>
      </c>
      <c r="O447" s="3" t="s">
        <v>896</v>
      </c>
      <c r="P447" s="3" t="s">
        <v>55</v>
      </c>
      <c r="S447" s="3" t="str">
        <f t="shared" si="6"/>
        <v>WITH ZDATA AS
(SELECT TRUNC((NVL(kfc.VALUE,0)-NVL(kfc2.VALUE,0)) / kfc2.VALUE,10) AS Value, 
'123' AS BusinessObjectKey, 
kfc.CHARACTERISTIC AS Characteristic
FROM AVG_1117 kfc
JOIN PDP_AVG_1117 kfc2 ON kfc.BO_KEY = kfc2.BO_KEY AND kfc.CHARACTERISTIC = kfc2.CHARACTERISTIC
WHERE kfc2.VALUE &lt;&gt; 0 AND kfc2.VALUE IS NOT NULL
) 
SELECT 'VGL_AVG_1117' AS KeyFigureName,
'123456' AS ProcessingRunId, 
'12345' AS WaveId, 
Characteristic, BusinessObjectKey, 
Value AS Value 
FROM ZDATA 
ORDER BY BusinessObjectKey;</v>
      </c>
    </row>
    <row r="448" spans="1:19" x14ac:dyDescent="0.2">
      <c r="A448" s="4">
        <v>1465</v>
      </c>
      <c r="B448" s="3">
        <v>1</v>
      </c>
      <c r="C448" s="3" t="s">
        <v>897</v>
      </c>
      <c r="D448" s="3" t="s">
        <v>898</v>
      </c>
      <c r="E448" s="3" t="s">
        <v>21</v>
      </c>
      <c r="F448" s="3" t="s">
        <v>899</v>
      </c>
      <c r="H448" s="3" t="s">
        <v>61</v>
      </c>
      <c r="I448" s="3" t="s">
        <v>21</v>
      </c>
      <c r="J448" s="3" t="s">
        <v>900</v>
      </c>
      <c r="K448" s="3" t="s">
        <v>901</v>
      </c>
      <c r="L448" s="3" t="s">
        <v>26</v>
      </c>
      <c r="M448" s="3" t="s">
        <v>27</v>
      </c>
      <c r="N448" s="3" t="s">
        <v>28</v>
      </c>
      <c r="O448" s="3" t="s">
        <v>902</v>
      </c>
      <c r="P448" s="3" t="s">
        <v>903</v>
      </c>
      <c r="S448" s="3" t="str">
        <f t="shared" si="6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pdp.UV_KTR_TYP=1  THEN 'STAT' ELSE 'OTHER' 
END AS Characteristic
FROM ADMINISTRATIVES adm
JOIN PDP_KOSTENTRAEGERFALL pdp ON adm.UV_FALL_ID=pdp.UV_FALL_ID
WHERE adm.UV_ABC_FALL IN ('B','C')
) 
SELECT 'SUM_1465_KTF_ABZUG' AS KeyFigureName,
'123456' AS ProcessingRunId, 
'12345' AS WaveId, 
Characteristic, BusinessObjectKey, 
SUM(Value) AS Value 
FROM ZDATA 
GROUP BY Characteristic, BusinessObjectKey
ORDER BY BusinessObjectKey;</v>
      </c>
    </row>
    <row r="449" spans="1:19" x14ac:dyDescent="0.2">
      <c r="A449" s="4">
        <v>1465</v>
      </c>
      <c r="B449" s="3">
        <v>1</v>
      </c>
      <c r="C449" s="3" t="s">
        <v>904</v>
      </c>
      <c r="D449" s="3" t="s">
        <v>59</v>
      </c>
      <c r="E449" s="3" t="s">
        <v>21</v>
      </c>
      <c r="F449" s="3" t="s">
        <v>109</v>
      </c>
      <c r="H449" s="3" t="s">
        <v>61</v>
      </c>
      <c r="I449" s="3" t="s">
        <v>21</v>
      </c>
      <c r="J449" s="3" t="s">
        <v>900</v>
      </c>
      <c r="K449" s="3" t="s">
        <v>905</v>
      </c>
      <c r="L449" s="3" t="s">
        <v>26</v>
      </c>
      <c r="M449" s="3" t="s">
        <v>64</v>
      </c>
      <c r="N449" s="3" t="s">
        <v>28</v>
      </c>
      <c r="S449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ktf.UV_KTR_TYP=1  THEN 'STAT'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0" spans="1:19" x14ac:dyDescent="0.2">
      <c r="A450" s="4">
        <v>1465</v>
      </c>
      <c r="B450" s="3">
        <v>1</v>
      </c>
      <c r="C450" s="3" t="s">
        <v>904</v>
      </c>
      <c r="D450" s="3" t="s">
        <v>59</v>
      </c>
      <c r="E450" s="3" t="s">
        <v>21</v>
      </c>
      <c r="F450" s="3" t="s">
        <v>109</v>
      </c>
      <c r="H450" s="3" t="s">
        <v>61</v>
      </c>
      <c r="I450" s="3" t="s">
        <v>21</v>
      </c>
      <c r="J450" s="3" t="s">
        <v>906</v>
      </c>
      <c r="K450" s="3" t="s">
        <v>907</v>
      </c>
      <c r="L450" s="3" t="s">
        <v>26</v>
      </c>
      <c r="M450" s="3" t="s">
        <v>64</v>
      </c>
      <c r="N450" s="3" t="s">
        <v>28</v>
      </c>
      <c r="S450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 BETWEEN 200 AND 499 THEN 'AMBU'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1" spans="1:19" x14ac:dyDescent="0.2">
      <c r="A451" s="4">
        <v>1465</v>
      </c>
      <c r="B451" s="3">
        <v>1</v>
      </c>
      <c r="C451" s="3" t="s">
        <v>904</v>
      </c>
      <c r="D451" s="3" t="s">
        <v>59</v>
      </c>
      <c r="E451" s="3" t="s">
        <v>21</v>
      </c>
      <c r="F451" s="3" t="s">
        <v>109</v>
      </c>
      <c r="H451" s="3" t="s">
        <v>61</v>
      </c>
      <c r="I451" s="3" t="s">
        <v>21</v>
      </c>
      <c r="J451" s="3" t="s">
        <v>908</v>
      </c>
      <c r="K451" s="3" t="s">
        <v>591</v>
      </c>
      <c r="L451" s="3" t="s">
        <v>26</v>
      </c>
      <c r="M451" s="3" t="s">
        <v>64</v>
      </c>
      <c r="N451" s="3" t="s">
        <v>28</v>
      </c>
      <c r="S451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ktf.UV_KTR_TYP=10 THEN 'NEBENBETRIEBE'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2" spans="1:19" x14ac:dyDescent="0.2">
      <c r="A452" s="4">
        <v>1465</v>
      </c>
      <c r="B452" s="3">
        <v>1</v>
      </c>
      <c r="C452" s="3" t="s">
        <v>904</v>
      </c>
      <c r="D452" s="3" t="s">
        <v>59</v>
      </c>
      <c r="E452" s="3" t="s">
        <v>21</v>
      </c>
      <c r="F452" s="3" t="s">
        <v>109</v>
      </c>
      <c r="H452" s="3" t="s">
        <v>61</v>
      </c>
      <c r="I452" s="3" t="s">
        <v>21</v>
      </c>
      <c r="J452" s="3" t="s">
        <v>909</v>
      </c>
      <c r="K452" s="3" t="s">
        <v>910</v>
      </c>
      <c r="L452" s="3" t="s">
        <v>26</v>
      </c>
      <c r="M452" s="3" t="s">
        <v>64</v>
      </c>
      <c r="N452" s="3" t="s">
        <v>28</v>
      </c>
      <c r="S452" s="3" t="str">
        <f t="shared" ref="S452:S515" si="7">IF(F452="","","WITH ZDATA AS
(SELECT "&amp;F452&amp;" AS Value, 
'123' AS BusinessObjectKey, 
"&amp;IF(I452="False","CASE WHEN "&amp;K452&amp;" THEN '"&amp;J452&amp;"' ELSE '"&amp;L452&amp;"' 
END AS Characteristic",G452)&amp;"
FROM "&amp;M452&amp;"
"&amp;O452&amp;"
"&amp;IF(P452="","", "WHERE "&amp;P452)&amp;"
"&amp;IF(Q452="","", "GROUP BY "&amp;Q452)&amp;"
"&amp;IF(R452="","", "HAVING "&amp;R452)&amp;"
) 
SELECT '"&amp;C452&amp;"' AS KeyFigureName,
'123456' AS ProcessingRunId, 
'12345' AS WaveId, 
Characteristic, BusinessObjectKey, 
"&amp;IF(H452="","Value",H452)&amp;" AS Value 
FROM ZDATA 
"&amp;IF(I452="False","GROUP BY Characteristic, BusinessObjectKey","")&amp;"
ORDER BY BusinessObjectKey;")</f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 BETWEEN 500 AND 799 THEN 'GWL'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3" spans="1:19" x14ac:dyDescent="0.2">
      <c r="A453" s="4">
        <v>1465</v>
      </c>
      <c r="B453" s="3">
        <v>1</v>
      </c>
      <c r="C453" s="3" t="s">
        <v>904</v>
      </c>
      <c r="D453" s="3" t="s">
        <v>59</v>
      </c>
      <c r="E453" s="3" t="s">
        <v>21</v>
      </c>
      <c r="F453" s="3" t="s">
        <v>109</v>
      </c>
      <c r="H453" s="3" t="s">
        <v>61</v>
      </c>
      <c r="I453" s="3" t="s">
        <v>21</v>
      </c>
      <c r="J453" s="3" t="s">
        <v>911</v>
      </c>
      <c r="K453" s="3" t="s">
        <v>609</v>
      </c>
      <c r="L453" s="3" t="s">
        <v>26</v>
      </c>
      <c r="M453" s="3" t="s">
        <v>64</v>
      </c>
      <c r="N453" s="3" t="s">
        <v>28</v>
      </c>
      <c r="S45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ktf.UV_KTR_TYP=801 THEN 'UEBRIGE'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4" spans="1:19" x14ac:dyDescent="0.2">
      <c r="A454" s="4">
        <v>1465</v>
      </c>
      <c r="B454" s="3">
        <v>1</v>
      </c>
      <c r="C454" s="3" t="s">
        <v>912</v>
      </c>
      <c r="D454" s="3" t="s">
        <v>66</v>
      </c>
      <c r="E454" s="3" t="s">
        <v>41</v>
      </c>
      <c r="F454" s="3" t="s">
        <v>913</v>
      </c>
      <c r="H454" s="3" t="s">
        <v>61</v>
      </c>
      <c r="I454" s="3" t="s">
        <v>21</v>
      </c>
      <c r="J454" s="3" t="s">
        <v>900</v>
      </c>
      <c r="K454" s="3" t="s">
        <v>914</v>
      </c>
      <c r="L454" s="3" t="s">
        <v>26</v>
      </c>
      <c r="M454" s="3" t="s">
        <v>68</v>
      </c>
      <c r="N454" s="3" t="s">
        <v>28</v>
      </c>
      <c r="S454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IN (101,102) THEN 'STAT'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5" spans="1:19" x14ac:dyDescent="0.2">
      <c r="A455" s="4">
        <v>1465</v>
      </c>
      <c r="B455" s="3">
        <v>1</v>
      </c>
      <c r="C455" s="3" t="s">
        <v>912</v>
      </c>
      <c r="D455" s="3" t="s">
        <v>66</v>
      </c>
      <c r="E455" s="3" t="s">
        <v>41</v>
      </c>
      <c r="F455" s="3" t="s">
        <v>913</v>
      </c>
      <c r="H455" s="3" t="s">
        <v>61</v>
      </c>
      <c r="I455" s="3" t="s">
        <v>21</v>
      </c>
      <c r="J455" s="3" t="s">
        <v>906</v>
      </c>
      <c r="K455" s="3" t="s">
        <v>915</v>
      </c>
      <c r="L455" s="3" t="s">
        <v>26</v>
      </c>
      <c r="M455" s="3" t="s">
        <v>68</v>
      </c>
      <c r="N455" s="3" t="s">
        <v>28</v>
      </c>
      <c r="S455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BETWEEN 200 AND 499 THEN 'AMBU'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6" spans="1:19" x14ac:dyDescent="0.2">
      <c r="A456" s="4">
        <v>1465</v>
      </c>
      <c r="B456" s="3">
        <v>1</v>
      </c>
      <c r="C456" s="3" t="s">
        <v>912</v>
      </c>
      <c r="D456" s="3" t="s">
        <v>66</v>
      </c>
      <c r="E456" s="3" t="s">
        <v>41</v>
      </c>
      <c r="F456" s="3" t="s">
        <v>913</v>
      </c>
      <c r="H456" s="3" t="s">
        <v>61</v>
      </c>
      <c r="I456" s="3" t="s">
        <v>21</v>
      </c>
      <c r="J456" s="3" t="s">
        <v>908</v>
      </c>
      <c r="K456" s="3" t="s">
        <v>613</v>
      </c>
      <c r="L456" s="3" t="s">
        <v>26</v>
      </c>
      <c r="M456" s="3" t="s">
        <v>68</v>
      </c>
      <c r="N456" s="3" t="s">
        <v>28</v>
      </c>
      <c r="S456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kts.UV_KTR_TYP=10 THEN 'NEBENBETRIEBE'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7" spans="1:19" x14ac:dyDescent="0.2">
      <c r="A457" s="4">
        <v>1465</v>
      </c>
      <c r="B457" s="3">
        <v>1</v>
      </c>
      <c r="C457" s="3" t="s">
        <v>912</v>
      </c>
      <c r="D457" s="3" t="s">
        <v>66</v>
      </c>
      <c r="E457" s="3" t="s">
        <v>41</v>
      </c>
      <c r="F457" s="3" t="s">
        <v>913</v>
      </c>
      <c r="H457" s="3" t="s">
        <v>61</v>
      </c>
      <c r="I457" s="3" t="s">
        <v>21</v>
      </c>
      <c r="J457" s="3" t="s">
        <v>909</v>
      </c>
      <c r="K457" s="3" t="s">
        <v>916</v>
      </c>
      <c r="L457" s="3" t="s">
        <v>26</v>
      </c>
      <c r="M457" s="3" t="s">
        <v>68</v>
      </c>
      <c r="N457" s="3" t="s">
        <v>28</v>
      </c>
      <c r="S457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BETWEEN 500 AND 799 THEN 'GWL'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8" spans="1:19" x14ac:dyDescent="0.2">
      <c r="A458" s="4">
        <v>1465</v>
      </c>
      <c r="B458" s="3">
        <v>1</v>
      </c>
      <c r="C458" s="3" t="s">
        <v>912</v>
      </c>
      <c r="D458" s="3" t="s">
        <v>66</v>
      </c>
      <c r="E458" s="3" t="s">
        <v>41</v>
      </c>
      <c r="F458" s="3" t="s">
        <v>913</v>
      </c>
      <c r="H458" s="3" t="s">
        <v>61</v>
      </c>
      <c r="I458" s="3" t="s">
        <v>21</v>
      </c>
      <c r="J458" s="3" t="s">
        <v>911</v>
      </c>
      <c r="K458" s="3" t="s">
        <v>622</v>
      </c>
      <c r="L458" s="3" t="s">
        <v>26</v>
      </c>
      <c r="M458" s="3" t="s">
        <v>68</v>
      </c>
      <c r="N458" s="3" t="s">
        <v>28</v>
      </c>
      <c r="S458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kts.UV_KTR_TYP=801 THEN 'UEBRIGE'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9" spans="1:19" x14ac:dyDescent="0.2">
      <c r="A459" s="4">
        <v>1465</v>
      </c>
      <c r="B459" s="3">
        <v>1</v>
      </c>
      <c r="C459" s="3" t="s">
        <v>917</v>
      </c>
      <c r="D459" s="3" t="s">
        <v>70</v>
      </c>
      <c r="E459" s="3" t="s">
        <v>41</v>
      </c>
      <c r="F459" s="3" t="s">
        <v>918</v>
      </c>
      <c r="H459" s="3" t="s">
        <v>61</v>
      </c>
      <c r="I459" s="3" t="s">
        <v>21</v>
      </c>
      <c r="J459" s="3" t="s">
        <v>900</v>
      </c>
      <c r="K459" s="3" t="s">
        <v>919</v>
      </c>
      <c r="L459" s="3" t="s">
        <v>26</v>
      </c>
      <c r="M459" s="3" t="s">
        <v>72</v>
      </c>
      <c r="N459" s="3" t="s">
        <v>28</v>
      </c>
      <c r="S459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IN (101,102) THEN 'STAT'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0" spans="1:19" x14ac:dyDescent="0.2">
      <c r="A460" s="4">
        <v>1465</v>
      </c>
      <c r="B460" s="3">
        <v>1</v>
      </c>
      <c r="C460" s="3" t="s">
        <v>917</v>
      </c>
      <c r="D460" s="3" t="s">
        <v>70</v>
      </c>
      <c r="E460" s="3" t="s">
        <v>41</v>
      </c>
      <c r="F460" s="3" t="s">
        <v>918</v>
      </c>
      <c r="H460" s="3" t="s">
        <v>61</v>
      </c>
      <c r="I460" s="3" t="s">
        <v>21</v>
      </c>
      <c r="J460" s="3" t="s">
        <v>906</v>
      </c>
      <c r="K460" s="3" t="s">
        <v>920</v>
      </c>
      <c r="L460" s="3" t="s">
        <v>26</v>
      </c>
      <c r="M460" s="3" t="s">
        <v>72</v>
      </c>
      <c r="N460" s="3" t="s">
        <v>28</v>
      </c>
      <c r="S460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BETWEEN 200 AND 499 THEN 'AMBU'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1" spans="1:19" x14ac:dyDescent="0.2">
      <c r="A461" s="4">
        <v>1465</v>
      </c>
      <c r="B461" s="3">
        <v>1</v>
      </c>
      <c r="C461" s="3" t="s">
        <v>917</v>
      </c>
      <c r="D461" s="3" t="s">
        <v>70</v>
      </c>
      <c r="E461" s="3" t="s">
        <v>41</v>
      </c>
      <c r="F461" s="3" t="s">
        <v>918</v>
      </c>
      <c r="H461" s="3" t="s">
        <v>61</v>
      </c>
      <c r="I461" s="3" t="s">
        <v>21</v>
      </c>
      <c r="J461" s="3" t="s">
        <v>908</v>
      </c>
      <c r="K461" s="3" t="s">
        <v>626</v>
      </c>
      <c r="L461" s="3" t="s">
        <v>26</v>
      </c>
      <c r="M461" s="3" t="s">
        <v>72</v>
      </c>
      <c r="N461" s="3" t="s">
        <v>28</v>
      </c>
      <c r="S461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ktu.UV_KTR_TYP=10 THEN 'NEBENBETRIEBE'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2" spans="1:19" x14ac:dyDescent="0.2">
      <c r="A462" s="4">
        <v>1465</v>
      </c>
      <c r="B462" s="3">
        <v>1</v>
      </c>
      <c r="C462" s="3" t="s">
        <v>917</v>
      </c>
      <c r="D462" s="3" t="s">
        <v>70</v>
      </c>
      <c r="E462" s="3" t="s">
        <v>41</v>
      </c>
      <c r="F462" s="3" t="s">
        <v>918</v>
      </c>
      <c r="H462" s="3" t="s">
        <v>61</v>
      </c>
      <c r="I462" s="3" t="s">
        <v>21</v>
      </c>
      <c r="J462" s="3" t="s">
        <v>909</v>
      </c>
      <c r="K462" s="3" t="s">
        <v>921</v>
      </c>
      <c r="L462" s="3" t="s">
        <v>26</v>
      </c>
      <c r="M462" s="3" t="s">
        <v>72</v>
      </c>
      <c r="N462" s="3" t="s">
        <v>28</v>
      </c>
      <c r="S462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BETWEEN 500 AND 799 THEN 'GWL'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3" spans="1:19" x14ac:dyDescent="0.2">
      <c r="A463" s="4">
        <v>1465</v>
      </c>
      <c r="B463" s="3">
        <v>1</v>
      </c>
      <c r="C463" s="3" t="s">
        <v>917</v>
      </c>
      <c r="D463" s="3" t="s">
        <v>70</v>
      </c>
      <c r="E463" s="3" t="s">
        <v>41</v>
      </c>
      <c r="F463" s="3" t="s">
        <v>918</v>
      </c>
      <c r="H463" s="3" t="s">
        <v>61</v>
      </c>
      <c r="I463" s="3" t="s">
        <v>21</v>
      </c>
      <c r="J463" s="3" t="s">
        <v>911</v>
      </c>
      <c r="K463" s="3" t="s">
        <v>635</v>
      </c>
      <c r="L463" s="3" t="s">
        <v>26</v>
      </c>
      <c r="M463" s="3" t="s">
        <v>72</v>
      </c>
      <c r="N463" s="3" t="s">
        <v>28</v>
      </c>
      <c r="S463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ktu.UV_KTR_TYP=801 THEN 'UEBRIGE'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4" spans="1:19" x14ac:dyDescent="0.2">
      <c r="A464" s="4">
        <v>1465</v>
      </c>
      <c r="B464" s="3">
        <v>2</v>
      </c>
      <c r="C464" s="3" t="s">
        <v>922</v>
      </c>
      <c r="D464" s="3" t="s">
        <v>923</v>
      </c>
      <c r="E464" s="3" t="s">
        <v>21</v>
      </c>
      <c r="F464" s="3" t="s">
        <v>39</v>
      </c>
      <c r="G464" s="3" t="s">
        <v>40</v>
      </c>
      <c r="I464" s="3" t="s">
        <v>41</v>
      </c>
      <c r="M464" s="3" t="s">
        <v>924</v>
      </c>
      <c r="N464" s="3" t="s">
        <v>43</v>
      </c>
      <c r="O464" s="3" t="s">
        <v>925</v>
      </c>
      <c r="S464" s="3" t="str">
        <f t="shared" si="7"/>
        <v>WITH ZDATA AS
(SELECT NVL(kfc.VALUE,0)-NVL(kfc2.VALUE,0) AS Value, 
'123' AS BusinessObjectKey, 
kfc.CHARACTERISTIC AS Characteristic
FROM SUM_1465_KTF_VOR_ABZUG kfc
LEFT JOIN SUM_1465_KTF_ABZUG kfc2 ON kfc.BO_KEY = kfc2.BO_KEY AND kfc.CHARACTERISTIC = kfc2.CHARACTERISTIC
) 
SELECT 'SUM_1465_KTF' AS KeyFigureName,
'123456' AS ProcessingRunId, 
'12345' AS WaveId, 
Characteristic, BusinessObjectKey, 
Value AS Value 
FROM ZDATA 
ORDER BY BusinessObjectKey;</v>
      </c>
    </row>
    <row r="465" spans="1:19" x14ac:dyDescent="0.2">
      <c r="A465" s="4">
        <v>1465</v>
      </c>
      <c r="B465" s="3">
        <v>3</v>
      </c>
      <c r="C465" s="3" t="s">
        <v>926</v>
      </c>
      <c r="D465" s="3" t="s">
        <v>927</v>
      </c>
      <c r="E465" s="3" t="s">
        <v>21</v>
      </c>
      <c r="F465" s="3" t="s">
        <v>81</v>
      </c>
      <c r="G465" s="3" t="s">
        <v>40</v>
      </c>
      <c r="I465" s="3" t="s">
        <v>41</v>
      </c>
      <c r="M465" s="3" t="s">
        <v>928</v>
      </c>
      <c r="N465" s="3" t="s">
        <v>43</v>
      </c>
      <c r="O465" s="3" t="s">
        <v>929</v>
      </c>
      <c r="S465" s="3" t="str">
        <f t="shared" si="7"/>
        <v>WITH ZDATA AS
(SELECT NVL(kfc.VALUE,0)+NVL(kfc2.VALUE,0)+NVL(kfc3.VALUE,0) AS Value, 
'123' AS BusinessObjectKey, 
kfc.CHARACTERISTIC AS Characteristic
FROM SUM_1465_KTF kfc
JOIN SUM_1465_KTS kfc2 ON kfc.BO_KEY = kfc2.BO_KEY AND kfc.CHARACTERISTIC = kfc2.CHARACTERISTIC JOIN SUM_1465_KTU kfc3 ON kfc.BO_KEY = kfc3.BO_KEY AND kfc.CHARACTERISTIC = kfc3.CHARACTERISTIC
) 
SELECT 'SUM_1465' AS KeyFigureName,
'123456' AS ProcessingRunId, 
'12345' AS WaveId, 
Characteristic, BusinessObjectKey, 
Value AS Value 
FROM ZDATA 
ORDER BY BusinessObjectKey;</v>
      </c>
    </row>
    <row r="466" spans="1:19" x14ac:dyDescent="0.2">
      <c r="A466" s="4">
        <v>1465</v>
      </c>
      <c r="B466" s="3">
        <v>4</v>
      </c>
      <c r="C466" s="3" t="s">
        <v>930</v>
      </c>
      <c r="D466" s="3" t="s">
        <v>931</v>
      </c>
      <c r="E466" s="3" t="s">
        <v>21</v>
      </c>
      <c r="F466" s="3" t="s">
        <v>932</v>
      </c>
      <c r="G466" s="3" t="s">
        <v>40</v>
      </c>
      <c r="I466" s="3" t="s">
        <v>41</v>
      </c>
      <c r="M466" s="3" t="s">
        <v>933</v>
      </c>
      <c r="N466" s="3" t="s">
        <v>43</v>
      </c>
      <c r="O466" s="3" t="s">
        <v>934</v>
      </c>
      <c r="P466" s="3" t="s">
        <v>935</v>
      </c>
      <c r="S466" s="3" t="str">
        <f t="shared" si="7"/>
        <v>WITH ZDATA AS
(SELECT TRUNC(NVL(kfc.VALUE,0) / NVL(kfc_total.VALUE,0),10) AS Value, 
'123' AS BusinessObjectKey, 
kfc.CHARACTERISTIC AS Characteristic
FROM SUM_1465 kfc
JOIN SUM_1465 kfc_total ON kfc_total.CHARACTERISTIC = 'TOTAL'
WHERE kfc_total.VALUE &lt;&gt; 0 AND kfc_total.VALUE IS NOT NULL
) 
SELECT 'ANTEIL_1465' AS KeyFigureName,
'123456' AS ProcessingRunId, 
'12345' AS WaveId, 
Characteristic, BusinessObjectKey, 
Value AS Value 
FROM ZDATA 
ORDER BY BusinessObjectKey;</v>
      </c>
    </row>
    <row r="467" spans="1:19" x14ac:dyDescent="0.2">
      <c r="A467" s="4">
        <v>1465</v>
      </c>
      <c r="B467" s="3">
        <v>5</v>
      </c>
      <c r="C467" s="3" t="s">
        <v>936</v>
      </c>
      <c r="D467" s="3" t="s">
        <v>937</v>
      </c>
      <c r="E467" s="3" t="s">
        <v>21</v>
      </c>
      <c r="F467" s="3" t="s">
        <v>39</v>
      </c>
      <c r="G467" s="3" t="s">
        <v>40</v>
      </c>
      <c r="I467" s="3" t="s">
        <v>41</v>
      </c>
      <c r="M467" s="3" t="s">
        <v>938</v>
      </c>
      <c r="N467" s="3" t="s">
        <v>43</v>
      </c>
      <c r="O467" s="3" t="s">
        <v>939</v>
      </c>
      <c r="S467" s="3" t="str">
        <f t="shared" si="7"/>
        <v>WITH ZDATA AS
(SELECT NVL(kfc.VALUE,0)-NVL(kfc2.VALUE,0) AS Value, 
'123' AS BusinessObjectKey, 
kfc.CHARACTERISTIC AS Characteristic
FROM ANTEIL_1465 kfc
JOIN PDP_ANTEIL_1465 kfc2 ON kfc.BO_KEY = kfc2.BO_KEY AND kfc.CHARACTERISTIC = kfc2.CHARACTERISTIC
) 
SELECT 'VGL_ANTEIL_1465' AS KeyFigureName,
'123456' AS ProcessingRunId, 
'12345' AS WaveId, 
Characteristic, BusinessObjectKey, 
Value AS Value 
FROM ZDATA 
ORDER BY BusinessObjectKey;</v>
      </c>
    </row>
    <row r="468" spans="1:19" x14ac:dyDescent="0.2">
      <c r="A468" s="4">
        <v>1471</v>
      </c>
      <c r="B468" s="3">
        <v>1</v>
      </c>
      <c r="C468" s="3" t="s">
        <v>940</v>
      </c>
      <c r="D468" s="3" t="s">
        <v>898</v>
      </c>
      <c r="E468" s="3" t="s">
        <v>21</v>
      </c>
      <c r="F468" s="3" t="s">
        <v>899</v>
      </c>
      <c r="H468" s="3" t="s">
        <v>61</v>
      </c>
      <c r="I468" s="3" t="s">
        <v>21</v>
      </c>
      <c r="J468" s="3" t="s">
        <v>91</v>
      </c>
      <c r="K468" s="3" t="s">
        <v>25</v>
      </c>
      <c r="L468" s="3" t="s">
        <v>26</v>
      </c>
      <c r="M468" s="3" t="s">
        <v>27</v>
      </c>
      <c r="N468" s="3" t="s">
        <v>28</v>
      </c>
      <c r="O468" s="3" t="s">
        <v>902</v>
      </c>
      <c r="P468" s="3" t="s">
        <v>941</v>
      </c>
      <c r="S468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69" spans="1:19" x14ac:dyDescent="0.2">
      <c r="A469" s="4">
        <v>1471</v>
      </c>
      <c r="B469" s="3">
        <v>1</v>
      </c>
      <c r="C469" s="3" t="s">
        <v>940</v>
      </c>
      <c r="D469" s="3" t="s">
        <v>898</v>
      </c>
      <c r="E469" s="3" t="s">
        <v>21</v>
      </c>
      <c r="F469" s="3" t="s">
        <v>899</v>
      </c>
      <c r="H469" s="3" t="s">
        <v>61</v>
      </c>
      <c r="I469" s="3" t="s">
        <v>21</v>
      </c>
      <c r="J469" s="3" t="s">
        <v>94</v>
      </c>
      <c r="K469" s="3" t="s">
        <v>35</v>
      </c>
      <c r="L469" s="3" t="s">
        <v>26</v>
      </c>
      <c r="M469" s="3" t="s">
        <v>27</v>
      </c>
      <c r="N469" s="3" t="s">
        <v>28</v>
      </c>
      <c r="O469" s="3" t="s">
        <v>902</v>
      </c>
      <c r="P469" s="3" t="s">
        <v>941</v>
      </c>
      <c r="S46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0" spans="1:19" x14ac:dyDescent="0.2">
      <c r="A470" s="4">
        <v>1471</v>
      </c>
      <c r="B470" s="3">
        <v>1</v>
      </c>
      <c r="C470" s="3" t="s">
        <v>940</v>
      </c>
      <c r="D470" s="3" t="s">
        <v>898</v>
      </c>
      <c r="E470" s="3" t="s">
        <v>21</v>
      </c>
      <c r="F470" s="3" t="s">
        <v>899</v>
      </c>
      <c r="H470" s="3" t="s">
        <v>61</v>
      </c>
      <c r="I470" s="3" t="s">
        <v>21</v>
      </c>
      <c r="J470" s="3" t="s">
        <v>93</v>
      </c>
      <c r="K470" s="3" t="s">
        <v>32</v>
      </c>
      <c r="L470" s="3" t="s">
        <v>26</v>
      </c>
      <c r="M470" s="3" t="s">
        <v>27</v>
      </c>
      <c r="N470" s="3" t="s">
        <v>28</v>
      </c>
      <c r="O470" s="3" t="s">
        <v>902</v>
      </c>
      <c r="P470" s="3" t="s">
        <v>941</v>
      </c>
      <c r="S470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1" spans="1:19" x14ac:dyDescent="0.2">
      <c r="A471" s="4">
        <v>1471</v>
      </c>
      <c r="B471" s="3">
        <v>1</v>
      </c>
      <c r="C471" s="3" t="s">
        <v>940</v>
      </c>
      <c r="D471" s="3" t="s">
        <v>898</v>
      </c>
      <c r="E471" s="3" t="s">
        <v>21</v>
      </c>
      <c r="F471" s="3" t="s">
        <v>899</v>
      </c>
      <c r="H471" s="3" t="s">
        <v>61</v>
      </c>
      <c r="I471" s="3" t="s">
        <v>21</v>
      </c>
      <c r="J471" s="3" t="s">
        <v>911</v>
      </c>
      <c r="K471" s="3" t="s">
        <v>942</v>
      </c>
      <c r="L471" s="3" t="s">
        <v>26</v>
      </c>
      <c r="M471" s="3" t="s">
        <v>27</v>
      </c>
      <c r="N471" s="3" t="s">
        <v>28</v>
      </c>
      <c r="O471" s="3" t="s">
        <v>902</v>
      </c>
      <c r="P471" s="3" t="s">
        <v>941</v>
      </c>
      <c r="S471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2" spans="1:19" x14ac:dyDescent="0.2">
      <c r="A472" s="4">
        <v>1471</v>
      </c>
      <c r="B472" s="3">
        <v>1</v>
      </c>
      <c r="C472" s="3" t="s">
        <v>943</v>
      </c>
      <c r="D472" s="3" t="s">
        <v>96</v>
      </c>
      <c r="E472" s="3" t="s">
        <v>21</v>
      </c>
      <c r="F472" s="3" t="s">
        <v>109</v>
      </c>
      <c r="H472" s="3" t="s">
        <v>61</v>
      </c>
      <c r="I472" s="3" t="s">
        <v>21</v>
      </c>
      <c r="J472" s="3" t="s">
        <v>91</v>
      </c>
      <c r="K472" s="3" t="s">
        <v>25</v>
      </c>
      <c r="L472" s="3" t="s">
        <v>26</v>
      </c>
      <c r="M472" s="3" t="s">
        <v>27</v>
      </c>
      <c r="N472" s="3" t="s">
        <v>28</v>
      </c>
      <c r="O472" s="3" t="s">
        <v>98</v>
      </c>
      <c r="P472" s="3" t="s">
        <v>589</v>
      </c>
      <c r="S472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3" spans="1:19" x14ac:dyDescent="0.2">
      <c r="A473" s="4">
        <v>1471</v>
      </c>
      <c r="B473" s="3">
        <v>1</v>
      </c>
      <c r="C473" s="3" t="s">
        <v>943</v>
      </c>
      <c r="D473" s="3" t="s">
        <v>96</v>
      </c>
      <c r="E473" s="3" t="s">
        <v>21</v>
      </c>
      <c r="F473" s="3" t="s">
        <v>109</v>
      </c>
      <c r="H473" s="3" t="s">
        <v>61</v>
      </c>
      <c r="I473" s="3" t="s">
        <v>21</v>
      </c>
      <c r="J473" s="3" t="s">
        <v>94</v>
      </c>
      <c r="K473" s="3" t="s">
        <v>35</v>
      </c>
      <c r="L473" s="3" t="s">
        <v>26</v>
      </c>
      <c r="M473" s="3" t="s">
        <v>27</v>
      </c>
      <c r="N473" s="3" t="s">
        <v>28</v>
      </c>
      <c r="O473" s="3" t="s">
        <v>98</v>
      </c>
      <c r="P473" s="3" t="s">
        <v>589</v>
      </c>
      <c r="S47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4" spans="1:19" x14ac:dyDescent="0.2">
      <c r="A474" s="4">
        <v>1471</v>
      </c>
      <c r="B474" s="3">
        <v>1</v>
      </c>
      <c r="C474" s="3" t="s">
        <v>943</v>
      </c>
      <c r="D474" s="3" t="s">
        <v>96</v>
      </c>
      <c r="E474" s="3" t="s">
        <v>21</v>
      </c>
      <c r="F474" s="3" t="s">
        <v>109</v>
      </c>
      <c r="H474" s="3" t="s">
        <v>61</v>
      </c>
      <c r="I474" s="3" t="s">
        <v>21</v>
      </c>
      <c r="J474" s="3" t="s">
        <v>93</v>
      </c>
      <c r="K474" s="3" t="s">
        <v>32</v>
      </c>
      <c r="L474" s="3" t="s">
        <v>26</v>
      </c>
      <c r="M474" s="3" t="s">
        <v>27</v>
      </c>
      <c r="N474" s="3" t="s">
        <v>28</v>
      </c>
      <c r="O474" s="3" t="s">
        <v>98</v>
      </c>
      <c r="P474" s="3" t="s">
        <v>589</v>
      </c>
      <c r="S47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5" spans="1:19" x14ac:dyDescent="0.2">
      <c r="A475" s="4">
        <v>1471</v>
      </c>
      <c r="B475" s="3">
        <v>1</v>
      </c>
      <c r="C475" s="3" t="s">
        <v>943</v>
      </c>
      <c r="D475" s="3" t="s">
        <v>96</v>
      </c>
      <c r="E475" s="3" t="s">
        <v>21</v>
      </c>
      <c r="F475" s="3" t="s">
        <v>109</v>
      </c>
      <c r="H475" s="3" t="s">
        <v>61</v>
      </c>
      <c r="I475" s="3" t="s">
        <v>21</v>
      </c>
      <c r="J475" s="3" t="s">
        <v>911</v>
      </c>
      <c r="K475" s="3" t="s">
        <v>942</v>
      </c>
      <c r="L475" s="3" t="s">
        <v>26</v>
      </c>
      <c r="M475" s="3" t="s">
        <v>27</v>
      </c>
      <c r="N475" s="3" t="s">
        <v>28</v>
      </c>
      <c r="O475" s="3" t="s">
        <v>98</v>
      </c>
      <c r="P475" s="3" t="s">
        <v>589</v>
      </c>
      <c r="S475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6" spans="1:19" x14ac:dyDescent="0.2">
      <c r="A476" s="4">
        <v>1471</v>
      </c>
      <c r="B476" s="3">
        <v>2</v>
      </c>
      <c r="C476" s="3" t="s">
        <v>944</v>
      </c>
      <c r="D476" s="3" t="s">
        <v>945</v>
      </c>
      <c r="E476" s="3" t="s">
        <v>21</v>
      </c>
      <c r="F476" s="3" t="s">
        <v>39</v>
      </c>
      <c r="G476" s="3" t="s">
        <v>40</v>
      </c>
      <c r="I476" s="3" t="s">
        <v>41</v>
      </c>
      <c r="M476" s="3" t="s">
        <v>946</v>
      </c>
      <c r="N476" s="3" t="s">
        <v>43</v>
      </c>
      <c r="O476" s="3" t="s">
        <v>947</v>
      </c>
      <c r="S476" s="3" t="str">
        <f t="shared" si="7"/>
        <v>WITH ZDATA AS
(SELECT NVL(kfc.VALUE,0)-NVL(kfc2.VALUE,0) AS Value, 
'123' AS BusinessObjectKey, 
kfc.CHARACTERISTIC AS Characteristic
FROM SUM_1471_VOR_ABZUG kfc
JOIN SUM_1471_ABZUG kfc2 ON kfc.BO_KEY = kfc2.BO_KEY AND kfc.CHARACTERISTIC = kfc2.CHARACTERISTIC
) 
SELECT 'SUM_1471' AS KeyFigureName,
'123456' AS ProcessingRunId, 
'12345' AS WaveId, 
Characteristic, BusinessObjectKey, 
Value AS Value 
FROM ZDATA 
ORDER BY BusinessObjectKey;</v>
      </c>
    </row>
    <row r="477" spans="1:19" x14ac:dyDescent="0.2">
      <c r="A477" s="4">
        <v>1471</v>
      </c>
      <c r="B477" s="3">
        <v>3</v>
      </c>
      <c r="C477" s="3" t="s">
        <v>948</v>
      </c>
      <c r="D477" s="3" t="s">
        <v>949</v>
      </c>
      <c r="E477" s="3" t="s">
        <v>21</v>
      </c>
      <c r="F477" s="3" t="s">
        <v>932</v>
      </c>
      <c r="G477" s="3" t="s">
        <v>40</v>
      </c>
      <c r="I477" s="3" t="s">
        <v>41</v>
      </c>
      <c r="M477" s="3" t="s">
        <v>950</v>
      </c>
      <c r="N477" s="3" t="s">
        <v>43</v>
      </c>
      <c r="O477" s="3" t="s">
        <v>951</v>
      </c>
      <c r="P477" s="3" t="s">
        <v>935</v>
      </c>
      <c r="S477" s="3" t="str">
        <f t="shared" si="7"/>
        <v>WITH ZDATA AS
(SELECT TRUNC(NVL(kfc.VALUE,0) / NVL(kfc_total.VALUE,0),10) AS Value, 
'123' AS BusinessObjectKey, 
kfc.CHARACTERISTIC AS Characteristic
FROM SUM_1471 kfc
JOIN SUM_1471 kfc_total ON kfc_total.CHARACTERISTIC = 'TOTAL'
WHERE kfc_total.VALUE &lt;&gt; 0 AND kfc_total.VALUE IS NOT NULL
) 
SELECT 'ANTEIL_1471' AS KeyFigureName,
'123456' AS ProcessingRunId, 
'12345' AS WaveId, 
Characteristic, BusinessObjectKey, 
Value AS Value 
FROM ZDATA 
ORDER BY BusinessObjectKey;</v>
      </c>
    </row>
    <row r="478" spans="1:19" x14ac:dyDescent="0.2">
      <c r="A478" s="4">
        <v>1471</v>
      </c>
      <c r="B478" s="3">
        <v>4</v>
      </c>
      <c r="C478" s="3" t="s">
        <v>952</v>
      </c>
      <c r="D478" s="3" t="s">
        <v>953</v>
      </c>
      <c r="E478" s="3" t="s">
        <v>21</v>
      </c>
      <c r="F478" s="3" t="s">
        <v>39</v>
      </c>
      <c r="G478" s="3" t="s">
        <v>40</v>
      </c>
      <c r="I478" s="3" t="s">
        <v>41</v>
      </c>
      <c r="M478" s="3" t="s">
        <v>954</v>
      </c>
      <c r="N478" s="3" t="s">
        <v>43</v>
      </c>
      <c r="O478" s="3" t="s">
        <v>955</v>
      </c>
      <c r="S478" s="3" t="str">
        <f t="shared" si="7"/>
        <v>WITH ZDATA AS
(SELECT NVL(kfc.VALUE,0)-NVL(kfc2.VALUE,0) AS Value, 
'123' AS BusinessObjectKey, 
kfc.CHARACTERISTIC AS Characteristic
FROM ANTEIL_1471 kfc
JOIN PDP_ANTEIL_1471 kfc2 ON kfc.BO_KEY = kfc2.BO_KEY AND kfc.CHARACTERISTIC = kfc2.CHARACTERISTIC
) 
SELECT 'VGL_ANTEIL_1471' AS KeyFigureName,
'123456' AS ProcessingRunId, 
'12345' AS WaveId, 
Characteristic, BusinessObjectKey, 
Value AS Value 
FROM ZDATA 
ORDER BY BusinessObjectKey;</v>
      </c>
    </row>
    <row r="479" spans="1:19" x14ac:dyDescent="0.2">
      <c r="A479" s="4">
        <v>1473</v>
      </c>
      <c r="B479" s="3">
        <v>1</v>
      </c>
      <c r="C479" s="3" t="s">
        <v>956</v>
      </c>
      <c r="D479" s="3" t="s">
        <v>898</v>
      </c>
      <c r="E479" s="3" t="s">
        <v>21</v>
      </c>
      <c r="F479" s="3" t="s">
        <v>957</v>
      </c>
      <c r="H479" s="3" t="s">
        <v>61</v>
      </c>
      <c r="I479" s="3" t="s">
        <v>21</v>
      </c>
      <c r="J479" s="3" t="s">
        <v>900</v>
      </c>
      <c r="K479" s="3" t="s">
        <v>901</v>
      </c>
      <c r="L479" s="3" t="s">
        <v>26</v>
      </c>
      <c r="M479" s="3" t="s">
        <v>27</v>
      </c>
      <c r="N479" s="3" t="s">
        <v>28</v>
      </c>
      <c r="O479" s="3" t="s">
        <v>902</v>
      </c>
      <c r="P479" s="3" t="s">
        <v>903</v>
      </c>
      <c r="S47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pdp.UV_KTR_TYP=1  THEN 'STAT' ELSE 'OTHER' 
END AS Characteristic
FROM ADMINISTRATIVES adm
JOIN PDP_KOSTENTRAEGERFALL pdp ON adm.UV_FALL_ID=pdp.UV_FALL_ID
WHERE adm.UV_ABC_FALL IN ('B','C')
) 
SELECT 'SUM_1473_KTF_ABZUG' AS KeyFigureName,
'123456' AS ProcessingRunId, 
'12345' AS WaveId, 
Characteristic, BusinessObjectKey, 
SUM(Value) AS Value 
FROM ZDATA 
GROUP BY Characteristic, BusinessObjectKey
ORDER BY BusinessObjectKey;</v>
      </c>
    </row>
    <row r="480" spans="1:19" x14ac:dyDescent="0.2">
      <c r="A480" s="4">
        <v>1473</v>
      </c>
      <c r="B480" s="3">
        <v>1</v>
      </c>
      <c r="C480" s="3" t="s">
        <v>958</v>
      </c>
      <c r="D480" s="3" t="s">
        <v>59</v>
      </c>
      <c r="E480" s="3" t="s">
        <v>21</v>
      </c>
      <c r="F480" s="3" t="s">
        <v>959</v>
      </c>
      <c r="H480" s="3" t="s">
        <v>61</v>
      </c>
      <c r="I480" s="3" t="s">
        <v>21</v>
      </c>
      <c r="J480" s="3" t="s">
        <v>900</v>
      </c>
      <c r="K480" s="3" t="s">
        <v>589</v>
      </c>
      <c r="L480" s="3" t="s">
        <v>26</v>
      </c>
      <c r="M480" s="3" t="s">
        <v>64</v>
      </c>
      <c r="N480" s="3" t="s">
        <v>28</v>
      </c>
      <c r="S480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ktf.UV_KTR_TYP=1 THEN 'STAT'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1" spans="1:19" x14ac:dyDescent="0.2">
      <c r="A481" s="4">
        <v>1473</v>
      </c>
      <c r="B481" s="3">
        <v>1</v>
      </c>
      <c r="C481" s="3" t="s">
        <v>958</v>
      </c>
      <c r="D481" s="3" t="s">
        <v>59</v>
      </c>
      <c r="E481" s="3" t="s">
        <v>21</v>
      </c>
      <c r="F481" s="3" t="s">
        <v>959</v>
      </c>
      <c r="H481" s="3" t="s">
        <v>61</v>
      </c>
      <c r="I481" s="3" t="s">
        <v>21</v>
      </c>
      <c r="J481" s="3" t="s">
        <v>906</v>
      </c>
      <c r="K481" s="3" t="s">
        <v>907</v>
      </c>
      <c r="L481" s="3" t="s">
        <v>26</v>
      </c>
      <c r="M481" s="3" t="s">
        <v>64</v>
      </c>
      <c r="N481" s="3" t="s">
        <v>28</v>
      </c>
      <c r="S481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 BETWEEN 200 AND 499 THEN 'AMBU'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2" spans="1:19" x14ac:dyDescent="0.2">
      <c r="A482" s="4">
        <v>1473</v>
      </c>
      <c r="B482" s="3">
        <v>1</v>
      </c>
      <c r="C482" s="3" t="s">
        <v>958</v>
      </c>
      <c r="D482" s="3" t="s">
        <v>59</v>
      </c>
      <c r="E482" s="3" t="s">
        <v>21</v>
      </c>
      <c r="F482" s="3" t="s">
        <v>959</v>
      </c>
      <c r="H482" s="3" t="s">
        <v>61</v>
      </c>
      <c r="I482" s="3" t="s">
        <v>21</v>
      </c>
      <c r="J482" s="3" t="s">
        <v>908</v>
      </c>
      <c r="K482" s="3" t="s">
        <v>591</v>
      </c>
      <c r="L482" s="3" t="s">
        <v>26</v>
      </c>
      <c r="M482" s="3" t="s">
        <v>64</v>
      </c>
      <c r="N482" s="3" t="s">
        <v>28</v>
      </c>
      <c r="S482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ktf.UV_KTR_TYP=10 THEN 'NEBENBETRIEBE'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3" spans="1:19" x14ac:dyDescent="0.2">
      <c r="A483" s="4">
        <v>1473</v>
      </c>
      <c r="B483" s="3">
        <v>1</v>
      </c>
      <c r="C483" s="3" t="s">
        <v>958</v>
      </c>
      <c r="D483" s="3" t="s">
        <v>59</v>
      </c>
      <c r="E483" s="3" t="s">
        <v>21</v>
      </c>
      <c r="F483" s="3" t="s">
        <v>959</v>
      </c>
      <c r="H483" s="3" t="s">
        <v>61</v>
      </c>
      <c r="I483" s="3" t="s">
        <v>21</v>
      </c>
      <c r="J483" s="3" t="s">
        <v>909</v>
      </c>
      <c r="K483" s="3" t="s">
        <v>910</v>
      </c>
      <c r="L483" s="3" t="s">
        <v>26</v>
      </c>
      <c r="M483" s="3" t="s">
        <v>64</v>
      </c>
      <c r="N483" s="3" t="s">
        <v>28</v>
      </c>
      <c r="S48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 BETWEEN 500 AND 799 THEN 'GWL'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4" spans="1:19" x14ac:dyDescent="0.2">
      <c r="A484" s="4">
        <v>1473</v>
      </c>
      <c r="B484" s="3">
        <v>1</v>
      </c>
      <c r="C484" s="3" t="s">
        <v>958</v>
      </c>
      <c r="D484" s="3" t="s">
        <v>59</v>
      </c>
      <c r="E484" s="3" t="s">
        <v>21</v>
      </c>
      <c r="F484" s="3" t="s">
        <v>959</v>
      </c>
      <c r="H484" s="3" t="s">
        <v>61</v>
      </c>
      <c r="I484" s="3" t="s">
        <v>21</v>
      </c>
      <c r="J484" s="3" t="s">
        <v>911</v>
      </c>
      <c r="K484" s="3" t="s">
        <v>609</v>
      </c>
      <c r="L484" s="3" t="s">
        <v>26</v>
      </c>
      <c r="M484" s="3" t="s">
        <v>64</v>
      </c>
      <c r="N484" s="3" t="s">
        <v>28</v>
      </c>
      <c r="S48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ktf.UV_KTR_TYP=801 THEN 'UEBRIGE'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5" spans="1:19" x14ac:dyDescent="0.2">
      <c r="A485" s="4">
        <v>1473</v>
      </c>
      <c r="B485" s="3">
        <v>1</v>
      </c>
      <c r="C485" s="3" t="s">
        <v>960</v>
      </c>
      <c r="D485" s="3" t="s">
        <v>66</v>
      </c>
      <c r="E485" s="3" t="s">
        <v>41</v>
      </c>
      <c r="F485" s="3" t="s">
        <v>961</v>
      </c>
      <c r="H485" s="3" t="s">
        <v>61</v>
      </c>
      <c r="I485" s="3" t="s">
        <v>21</v>
      </c>
      <c r="J485" s="3" t="s">
        <v>900</v>
      </c>
      <c r="K485" s="3" t="s">
        <v>914</v>
      </c>
      <c r="L485" s="3" t="s">
        <v>26</v>
      </c>
      <c r="M485" s="3" t="s">
        <v>68</v>
      </c>
      <c r="N485" s="3" t="s">
        <v>28</v>
      </c>
      <c r="S485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IN (101,102) THEN 'STAT'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6" spans="1:19" x14ac:dyDescent="0.2">
      <c r="A486" s="4">
        <v>1473</v>
      </c>
      <c r="B486" s="3">
        <v>1</v>
      </c>
      <c r="C486" s="3" t="s">
        <v>960</v>
      </c>
      <c r="D486" s="3" t="s">
        <v>66</v>
      </c>
      <c r="E486" s="3" t="s">
        <v>41</v>
      </c>
      <c r="F486" s="3" t="s">
        <v>961</v>
      </c>
      <c r="H486" s="3" t="s">
        <v>61</v>
      </c>
      <c r="I486" s="3" t="s">
        <v>21</v>
      </c>
      <c r="J486" s="3" t="s">
        <v>906</v>
      </c>
      <c r="K486" s="3" t="s">
        <v>915</v>
      </c>
      <c r="L486" s="3" t="s">
        <v>26</v>
      </c>
      <c r="M486" s="3" t="s">
        <v>68</v>
      </c>
      <c r="N486" s="3" t="s">
        <v>28</v>
      </c>
      <c r="S486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BETWEEN 200 AND 499 THEN 'AMBU'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7" spans="1:19" x14ac:dyDescent="0.2">
      <c r="A487" s="4">
        <v>1473</v>
      </c>
      <c r="B487" s="3">
        <v>1</v>
      </c>
      <c r="C487" s="3" t="s">
        <v>960</v>
      </c>
      <c r="D487" s="3" t="s">
        <v>66</v>
      </c>
      <c r="E487" s="3" t="s">
        <v>41</v>
      </c>
      <c r="F487" s="3" t="s">
        <v>961</v>
      </c>
      <c r="H487" s="3" t="s">
        <v>61</v>
      </c>
      <c r="I487" s="3" t="s">
        <v>21</v>
      </c>
      <c r="J487" s="3" t="s">
        <v>908</v>
      </c>
      <c r="K487" s="3" t="s">
        <v>613</v>
      </c>
      <c r="L487" s="3" t="s">
        <v>26</v>
      </c>
      <c r="M487" s="3" t="s">
        <v>68</v>
      </c>
      <c r="N487" s="3" t="s">
        <v>28</v>
      </c>
      <c r="S487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kts.UV_KTR_TYP=10 THEN 'NEBENBETRIEBE'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8" spans="1:19" x14ac:dyDescent="0.2">
      <c r="A488" s="4">
        <v>1473</v>
      </c>
      <c r="B488" s="3">
        <v>1</v>
      </c>
      <c r="C488" s="3" t="s">
        <v>960</v>
      </c>
      <c r="D488" s="3" t="s">
        <v>66</v>
      </c>
      <c r="E488" s="3" t="s">
        <v>41</v>
      </c>
      <c r="F488" s="3" t="s">
        <v>961</v>
      </c>
      <c r="H488" s="3" t="s">
        <v>61</v>
      </c>
      <c r="I488" s="3" t="s">
        <v>21</v>
      </c>
      <c r="J488" s="3" t="s">
        <v>909</v>
      </c>
      <c r="K488" s="3" t="s">
        <v>916</v>
      </c>
      <c r="L488" s="3" t="s">
        <v>26</v>
      </c>
      <c r="M488" s="3" t="s">
        <v>68</v>
      </c>
      <c r="N488" s="3" t="s">
        <v>28</v>
      </c>
      <c r="S488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BETWEEN 500 AND 799 THEN 'GWL'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9" spans="1:19" x14ac:dyDescent="0.2">
      <c r="A489" s="4">
        <v>1473</v>
      </c>
      <c r="B489" s="3">
        <v>1</v>
      </c>
      <c r="C489" s="3" t="s">
        <v>960</v>
      </c>
      <c r="D489" s="3" t="s">
        <v>66</v>
      </c>
      <c r="E489" s="3" t="s">
        <v>41</v>
      </c>
      <c r="F489" s="3" t="s">
        <v>961</v>
      </c>
      <c r="H489" s="3" t="s">
        <v>61</v>
      </c>
      <c r="I489" s="3" t="s">
        <v>21</v>
      </c>
      <c r="J489" s="3" t="s">
        <v>911</v>
      </c>
      <c r="K489" s="3" t="s">
        <v>622</v>
      </c>
      <c r="L489" s="3" t="s">
        <v>26</v>
      </c>
      <c r="M489" s="3" t="s">
        <v>68</v>
      </c>
      <c r="N489" s="3" t="s">
        <v>28</v>
      </c>
      <c r="S489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kts.UV_KTR_TYP=801 THEN 'UEBRIGE'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90" spans="1:19" x14ac:dyDescent="0.2">
      <c r="A490" s="4">
        <v>1473</v>
      </c>
      <c r="B490" s="3">
        <v>1</v>
      </c>
      <c r="C490" s="3" t="s">
        <v>962</v>
      </c>
      <c r="D490" s="3" t="s">
        <v>70</v>
      </c>
      <c r="E490" s="3" t="s">
        <v>41</v>
      </c>
      <c r="F490" s="3" t="s">
        <v>963</v>
      </c>
      <c r="H490" s="3" t="s">
        <v>61</v>
      </c>
      <c r="I490" s="3" t="s">
        <v>21</v>
      </c>
      <c r="J490" s="3" t="s">
        <v>900</v>
      </c>
      <c r="K490" s="3" t="s">
        <v>919</v>
      </c>
      <c r="L490" s="3" t="s">
        <v>26</v>
      </c>
      <c r="M490" s="3" t="s">
        <v>72</v>
      </c>
      <c r="N490" s="3" t="s">
        <v>28</v>
      </c>
      <c r="S490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IN (101,102) THEN 'STAT'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1" spans="1:19" x14ac:dyDescent="0.2">
      <c r="A491" s="4">
        <v>1473</v>
      </c>
      <c r="B491" s="3">
        <v>1</v>
      </c>
      <c r="C491" s="3" t="s">
        <v>962</v>
      </c>
      <c r="D491" s="3" t="s">
        <v>70</v>
      </c>
      <c r="E491" s="3" t="s">
        <v>41</v>
      </c>
      <c r="F491" s="3" t="s">
        <v>963</v>
      </c>
      <c r="H491" s="3" t="s">
        <v>61</v>
      </c>
      <c r="I491" s="3" t="s">
        <v>21</v>
      </c>
      <c r="J491" s="3" t="s">
        <v>906</v>
      </c>
      <c r="K491" s="3" t="s">
        <v>920</v>
      </c>
      <c r="L491" s="3" t="s">
        <v>26</v>
      </c>
      <c r="M491" s="3" t="s">
        <v>72</v>
      </c>
      <c r="N491" s="3" t="s">
        <v>28</v>
      </c>
      <c r="S491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BETWEEN 200 AND 499 THEN 'AMBU'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2" spans="1:19" x14ac:dyDescent="0.2">
      <c r="A492" s="4">
        <v>1473</v>
      </c>
      <c r="B492" s="3">
        <v>1</v>
      </c>
      <c r="C492" s="3" t="s">
        <v>962</v>
      </c>
      <c r="D492" s="3" t="s">
        <v>70</v>
      </c>
      <c r="E492" s="3" t="s">
        <v>41</v>
      </c>
      <c r="F492" s="3" t="s">
        <v>963</v>
      </c>
      <c r="H492" s="3" t="s">
        <v>61</v>
      </c>
      <c r="I492" s="3" t="s">
        <v>21</v>
      </c>
      <c r="J492" s="3" t="s">
        <v>908</v>
      </c>
      <c r="K492" s="3" t="s">
        <v>626</v>
      </c>
      <c r="L492" s="3" t="s">
        <v>26</v>
      </c>
      <c r="M492" s="3" t="s">
        <v>72</v>
      </c>
      <c r="N492" s="3" t="s">
        <v>28</v>
      </c>
      <c r="S492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ktu.UV_KTR_TYP=10 THEN 'NEBENBETRIEBE'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3" spans="1:19" x14ac:dyDescent="0.2">
      <c r="A493" s="4">
        <v>1473</v>
      </c>
      <c r="B493" s="3">
        <v>1</v>
      </c>
      <c r="C493" s="3" t="s">
        <v>962</v>
      </c>
      <c r="D493" s="3" t="s">
        <v>70</v>
      </c>
      <c r="E493" s="3" t="s">
        <v>41</v>
      </c>
      <c r="F493" s="3" t="s">
        <v>963</v>
      </c>
      <c r="H493" s="3" t="s">
        <v>61</v>
      </c>
      <c r="I493" s="3" t="s">
        <v>21</v>
      </c>
      <c r="J493" s="3" t="s">
        <v>909</v>
      </c>
      <c r="K493" s="3" t="s">
        <v>921</v>
      </c>
      <c r="L493" s="3" t="s">
        <v>26</v>
      </c>
      <c r="M493" s="3" t="s">
        <v>72</v>
      </c>
      <c r="N493" s="3" t="s">
        <v>28</v>
      </c>
      <c r="S493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BETWEEN 500 AND 799 THEN 'GWL'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4" spans="1:19" x14ac:dyDescent="0.2">
      <c r="A494" s="4">
        <v>1473</v>
      </c>
      <c r="B494" s="3">
        <v>1</v>
      </c>
      <c r="C494" s="3" t="s">
        <v>962</v>
      </c>
      <c r="D494" s="3" t="s">
        <v>70</v>
      </c>
      <c r="E494" s="3" t="s">
        <v>41</v>
      </c>
      <c r="F494" s="3" t="s">
        <v>963</v>
      </c>
      <c r="H494" s="3" t="s">
        <v>61</v>
      </c>
      <c r="I494" s="3" t="s">
        <v>21</v>
      </c>
      <c r="J494" s="3" t="s">
        <v>911</v>
      </c>
      <c r="K494" s="3" t="s">
        <v>635</v>
      </c>
      <c r="L494" s="3" t="s">
        <v>26</v>
      </c>
      <c r="M494" s="3" t="s">
        <v>72</v>
      </c>
      <c r="N494" s="3" t="s">
        <v>28</v>
      </c>
      <c r="S494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ktu.UV_KTR_TYP=801 THEN 'UEBRIGE'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5" spans="1:19" x14ac:dyDescent="0.2">
      <c r="A495" s="4">
        <v>1473</v>
      </c>
      <c r="B495" s="3">
        <v>2</v>
      </c>
      <c r="C495" s="3" t="s">
        <v>964</v>
      </c>
      <c r="D495" s="3" t="s">
        <v>965</v>
      </c>
      <c r="E495" s="3" t="s">
        <v>21</v>
      </c>
      <c r="F495" s="3" t="s">
        <v>39</v>
      </c>
      <c r="G495" s="3" t="s">
        <v>40</v>
      </c>
      <c r="I495" s="3" t="s">
        <v>41</v>
      </c>
      <c r="M495" s="3" t="s">
        <v>966</v>
      </c>
      <c r="N495" s="3" t="s">
        <v>43</v>
      </c>
      <c r="O495" s="3" t="s">
        <v>967</v>
      </c>
      <c r="S495" s="3" t="str">
        <f t="shared" si="7"/>
        <v>WITH ZDATA AS
(SELECT NVL(kfc.VALUE,0)-NVL(kfc2.VALUE,0) AS Value, 
'123' AS BusinessObjectKey, 
kfc.CHARACTERISTIC AS Characteristic
FROM SUM_1473_KTF_VOR_ABZUG kfc
LEFT JOIN SUM_1473_KTF_ABZUG kfc2 ON kfc.BO_KEY = kfc2.BO_KEY AND kfc.CHARACTERISTIC = kfc2.CHARACTERISTIC
) 
SELECT 'SUM_1473_KTF' AS KeyFigureName,
'123456' AS ProcessingRunId, 
'12345' AS WaveId, 
Characteristic, BusinessObjectKey, 
Value AS Value 
FROM ZDATA 
ORDER BY BusinessObjectKey;</v>
      </c>
    </row>
    <row r="496" spans="1:19" x14ac:dyDescent="0.2">
      <c r="A496" s="4">
        <v>1473</v>
      </c>
      <c r="B496" s="3">
        <v>3</v>
      </c>
      <c r="C496" s="3" t="s">
        <v>968</v>
      </c>
      <c r="D496" s="3" t="s">
        <v>969</v>
      </c>
      <c r="E496" s="3" t="s">
        <v>21</v>
      </c>
      <c r="F496" s="3" t="s">
        <v>81</v>
      </c>
      <c r="G496" s="3" t="s">
        <v>40</v>
      </c>
      <c r="I496" s="3" t="s">
        <v>41</v>
      </c>
      <c r="M496" s="3" t="s">
        <v>970</v>
      </c>
      <c r="N496" s="3" t="s">
        <v>43</v>
      </c>
      <c r="O496" s="3" t="s">
        <v>971</v>
      </c>
      <c r="S496" s="3" t="str">
        <f t="shared" si="7"/>
        <v>WITH ZDATA AS
(SELECT NVL(kfc.VALUE,0)+NVL(kfc2.VALUE,0)+NVL(kfc3.VALUE,0) AS Value, 
'123' AS BusinessObjectKey, 
kfc.CHARACTERISTIC AS Characteristic
FROM SUM_1473_KTF kfc
JOIN SUM_1473_KTS kfc2 ON kfc.BO_KEY = kfc2.BO_KEY AND kfc.CHARACTERISTIC = kfc2.CHARACTERISTIC JOIN SUM_1473_KTU kfc3 ON kfc.BO_KEY = kfc3.BO_KEY AND kfc.CHARACTERISTIC = kfc3.CHARACTERISTIC
) 
SELECT 'SUM_1473' AS KeyFigureName,
'123456' AS ProcessingRunId, 
'12345' AS WaveId, 
Characteristic, BusinessObjectKey, 
Value AS Value 
FROM ZDATA 
ORDER BY BusinessObjectKey;</v>
      </c>
    </row>
    <row r="497" spans="1:19" x14ac:dyDescent="0.2">
      <c r="A497" s="4">
        <v>1473</v>
      </c>
      <c r="B497" s="3">
        <v>4</v>
      </c>
      <c r="C497" s="3" t="s">
        <v>972</v>
      </c>
      <c r="D497" s="3" t="s">
        <v>973</v>
      </c>
      <c r="E497" s="3" t="s">
        <v>21</v>
      </c>
      <c r="F497" s="3" t="s">
        <v>101</v>
      </c>
      <c r="G497" s="3" t="s">
        <v>40</v>
      </c>
      <c r="I497" s="3" t="s">
        <v>41</v>
      </c>
      <c r="M497" s="3" t="s">
        <v>974</v>
      </c>
      <c r="N497" s="3" t="s">
        <v>43</v>
      </c>
      <c r="O497" s="3" t="s">
        <v>975</v>
      </c>
      <c r="P497" s="3" t="s">
        <v>55</v>
      </c>
      <c r="S497" s="3" t="str">
        <f t="shared" si="7"/>
        <v>WITH ZDATA AS
(SELECT TRUNC(NVL(kfc.VALUE,0) / NVL(kfc2.VALUE,0),10) AS Value, 
'123' AS BusinessObjectKey, 
kfc.CHARACTERISTIC AS Characteristic
FROM SUM_1473 kfc
JOIN SUM_1465 kfc2 ON kfc.CHARACTERISTIC = kfc2.CHARACTERISTIC
WHERE kfc2.VALUE &lt;&gt; 0 AND kfc2.VALUE IS NOT NULL
) 
SELECT 'ANTEIL_1473' AS KeyFigureName,
'123456' AS ProcessingRunId, 
'12345' AS WaveId, 
Characteristic, BusinessObjectKey, 
Value AS Value 
FROM ZDATA 
ORDER BY BusinessObjectKey;</v>
      </c>
    </row>
    <row r="498" spans="1:19" x14ac:dyDescent="0.2">
      <c r="A498" s="4">
        <v>1473</v>
      </c>
      <c r="B498" s="3">
        <v>5</v>
      </c>
      <c r="C498" s="3" t="s">
        <v>976</v>
      </c>
      <c r="D498" s="3" t="s">
        <v>977</v>
      </c>
      <c r="E498" s="3" t="s">
        <v>21</v>
      </c>
      <c r="F498" s="3" t="s">
        <v>39</v>
      </c>
      <c r="G498" s="3" t="s">
        <v>40</v>
      </c>
      <c r="I498" s="3" t="s">
        <v>41</v>
      </c>
      <c r="M498" s="3" t="s">
        <v>978</v>
      </c>
      <c r="N498" s="3" t="s">
        <v>43</v>
      </c>
      <c r="O498" s="3" t="s">
        <v>979</v>
      </c>
      <c r="S498" s="3" t="str">
        <f t="shared" si="7"/>
        <v>WITH ZDATA AS
(SELECT NVL(kfc.VALUE,0)-NVL(kfc2.VALUE,0) AS Value, 
'123' AS BusinessObjectKey, 
kfc.CHARACTERISTIC AS Characteristic
FROM ANTEIL_1473 kfc
JOIN PDP_ANTEIL_1473 kfc2 ON kfc.BO_KEY = kfc2.BO_KEY AND kfc.CHARACTERISTIC = kfc2.CHARACTERISTIC
) 
SELECT 'VGL_ANTEIL_1473' AS KeyFigureName,
'123456' AS ProcessingRunId, 
'12345' AS WaveId, 
Characteristic, BusinessObjectKey, 
Value AS Value 
FROM ZDATA 
ORDER BY BusinessObjectKey;</v>
      </c>
    </row>
    <row r="499" spans="1:19" x14ac:dyDescent="0.2">
      <c r="A499" s="4">
        <v>1479</v>
      </c>
      <c r="B499" s="3">
        <v>1</v>
      </c>
      <c r="C499" s="3" t="s">
        <v>980</v>
      </c>
      <c r="D499" s="3" t="s">
        <v>898</v>
      </c>
      <c r="E499" s="3" t="s">
        <v>21</v>
      </c>
      <c r="F499" s="3" t="s">
        <v>957</v>
      </c>
      <c r="H499" s="3" t="s">
        <v>61</v>
      </c>
      <c r="I499" s="3" t="s">
        <v>21</v>
      </c>
      <c r="J499" s="3" t="s">
        <v>91</v>
      </c>
      <c r="K499" s="3" t="s">
        <v>25</v>
      </c>
      <c r="L499" s="3" t="s">
        <v>26</v>
      </c>
      <c r="M499" s="3" t="s">
        <v>27</v>
      </c>
      <c r="N499" s="3" t="s">
        <v>28</v>
      </c>
      <c r="O499" s="3" t="s">
        <v>902</v>
      </c>
      <c r="P499" s="3" t="s">
        <v>941</v>
      </c>
      <c r="S49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0" spans="1:19" x14ac:dyDescent="0.2">
      <c r="A500" s="4">
        <v>1479</v>
      </c>
      <c r="B500" s="3">
        <v>1</v>
      </c>
      <c r="C500" s="3" t="s">
        <v>980</v>
      </c>
      <c r="D500" s="3" t="s">
        <v>898</v>
      </c>
      <c r="E500" s="3" t="s">
        <v>21</v>
      </c>
      <c r="F500" s="3" t="s">
        <v>957</v>
      </c>
      <c r="H500" s="3" t="s">
        <v>61</v>
      </c>
      <c r="I500" s="3" t="s">
        <v>21</v>
      </c>
      <c r="J500" s="3" t="s">
        <v>94</v>
      </c>
      <c r="K500" s="3" t="s">
        <v>35</v>
      </c>
      <c r="L500" s="3" t="s">
        <v>26</v>
      </c>
      <c r="M500" s="3" t="s">
        <v>27</v>
      </c>
      <c r="N500" s="3" t="s">
        <v>28</v>
      </c>
      <c r="O500" s="3" t="s">
        <v>902</v>
      </c>
      <c r="P500" s="3" t="s">
        <v>941</v>
      </c>
      <c r="S500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1" spans="1:19" x14ac:dyDescent="0.2">
      <c r="A501" s="4">
        <v>1479</v>
      </c>
      <c r="B501" s="3">
        <v>1</v>
      </c>
      <c r="C501" s="3" t="s">
        <v>980</v>
      </c>
      <c r="D501" s="3" t="s">
        <v>898</v>
      </c>
      <c r="E501" s="3" t="s">
        <v>21</v>
      </c>
      <c r="F501" s="3" t="s">
        <v>957</v>
      </c>
      <c r="H501" s="3" t="s">
        <v>61</v>
      </c>
      <c r="I501" s="3" t="s">
        <v>21</v>
      </c>
      <c r="J501" s="3" t="s">
        <v>93</v>
      </c>
      <c r="K501" s="3" t="s">
        <v>32</v>
      </c>
      <c r="L501" s="3" t="s">
        <v>26</v>
      </c>
      <c r="M501" s="3" t="s">
        <v>27</v>
      </c>
      <c r="N501" s="3" t="s">
        <v>28</v>
      </c>
      <c r="O501" s="3" t="s">
        <v>902</v>
      </c>
      <c r="P501" s="3" t="s">
        <v>941</v>
      </c>
      <c r="S501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2" spans="1:19" x14ac:dyDescent="0.2">
      <c r="A502" s="4">
        <v>1479</v>
      </c>
      <c r="B502" s="3">
        <v>1</v>
      </c>
      <c r="C502" s="3" t="s">
        <v>980</v>
      </c>
      <c r="D502" s="3" t="s">
        <v>898</v>
      </c>
      <c r="E502" s="3" t="s">
        <v>21</v>
      </c>
      <c r="F502" s="3" t="s">
        <v>957</v>
      </c>
      <c r="H502" s="3" t="s">
        <v>61</v>
      </c>
      <c r="I502" s="3" t="s">
        <v>21</v>
      </c>
      <c r="J502" s="3" t="s">
        <v>911</v>
      </c>
      <c r="K502" s="3" t="s">
        <v>942</v>
      </c>
      <c r="L502" s="3" t="s">
        <v>26</v>
      </c>
      <c r="M502" s="3" t="s">
        <v>27</v>
      </c>
      <c r="N502" s="3" t="s">
        <v>28</v>
      </c>
      <c r="O502" s="3" t="s">
        <v>902</v>
      </c>
      <c r="P502" s="3" t="s">
        <v>941</v>
      </c>
      <c r="S502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3" spans="1:19" x14ac:dyDescent="0.2">
      <c r="A503" s="4">
        <v>1479</v>
      </c>
      <c r="B503" s="3">
        <v>1</v>
      </c>
      <c r="C503" s="3" t="s">
        <v>981</v>
      </c>
      <c r="D503" s="3" t="s">
        <v>96</v>
      </c>
      <c r="E503" s="3" t="s">
        <v>21</v>
      </c>
      <c r="F503" s="3" t="s">
        <v>959</v>
      </c>
      <c r="H503" s="3" t="s">
        <v>61</v>
      </c>
      <c r="I503" s="3" t="s">
        <v>21</v>
      </c>
      <c r="J503" s="3" t="s">
        <v>91</v>
      </c>
      <c r="K503" s="3" t="s">
        <v>25</v>
      </c>
      <c r="L503" s="3" t="s">
        <v>26</v>
      </c>
      <c r="M503" s="3" t="s">
        <v>27</v>
      </c>
      <c r="N503" s="3" t="s">
        <v>28</v>
      </c>
      <c r="O503" s="3" t="s">
        <v>98</v>
      </c>
      <c r="P503" s="3" t="s">
        <v>589</v>
      </c>
      <c r="S50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4" spans="1:19" x14ac:dyDescent="0.2">
      <c r="A504" s="4">
        <v>1479</v>
      </c>
      <c r="B504" s="3">
        <v>1</v>
      </c>
      <c r="C504" s="3" t="s">
        <v>981</v>
      </c>
      <c r="D504" s="3" t="s">
        <v>96</v>
      </c>
      <c r="E504" s="3" t="s">
        <v>21</v>
      </c>
      <c r="F504" s="3" t="s">
        <v>959</v>
      </c>
      <c r="H504" s="3" t="s">
        <v>61</v>
      </c>
      <c r="I504" s="3" t="s">
        <v>21</v>
      </c>
      <c r="J504" s="3" t="s">
        <v>94</v>
      </c>
      <c r="K504" s="3" t="s">
        <v>35</v>
      </c>
      <c r="L504" s="3" t="s">
        <v>26</v>
      </c>
      <c r="M504" s="3" t="s">
        <v>27</v>
      </c>
      <c r="N504" s="3" t="s">
        <v>28</v>
      </c>
      <c r="O504" s="3" t="s">
        <v>98</v>
      </c>
      <c r="P504" s="3" t="s">
        <v>589</v>
      </c>
      <c r="S50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5" spans="1:19" x14ac:dyDescent="0.2">
      <c r="A505" s="4">
        <v>1479</v>
      </c>
      <c r="B505" s="3">
        <v>1</v>
      </c>
      <c r="C505" s="3" t="s">
        <v>981</v>
      </c>
      <c r="D505" s="3" t="s">
        <v>96</v>
      </c>
      <c r="E505" s="3" t="s">
        <v>21</v>
      </c>
      <c r="F505" s="3" t="s">
        <v>959</v>
      </c>
      <c r="H505" s="3" t="s">
        <v>61</v>
      </c>
      <c r="I505" s="3" t="s">
        <v>21</v>
      </c>
      <c r="J505" s="3" t="s">
        <v>93</v>
      </c>
      <c r="K505" s="3" t="s">
        <v>32</v>
      </c>
      <c r="L505" s="3" t="s">
        <v>26</v>
      </c>
      <c r="M505" s="3" t="s">
        <v>27</v>
      </c>
      <c r="N505" s="3" t="s">
        <v>28</v>
      </c>
      <c r="O505" s="3" t="s">
        <v>98</v>
      </c>
      <c r="P505" s="3" t="s">
        <v>589</v>
      </c>
      <c r="S505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6" spans="1:19" x14ac:dyDescent="0.2">
      <c r="A506" s="4">
        <v>1479</v>
      </c>
      <c r="B506" s="3">
        <v>1</v>
      </c>
      <c r="C506" s="3" t="s">
        <v>981</v>
      </c>
      <c r="D506" s="3" t="s">
        <v>96</v>
      </c>
      <c r="E506" s="3" t="s">
        <v>21</v>
      </c>
      <c r="F506" s="3" t="s">
        <v>959</v>
      </c>
      <c r="H506" s="3" t="s">
        <v>61</v>
      </c>
      <c r="I506" s="3" t="s">
        <v>21</v>
      </c>
      <c r="J506" s="3" t="s">
        <v>911</v>
      </c>
      <c r="K506" s="3" t="s">
        <v>942</v>
      </c>
      <c r="L506" s="3" t="s">
        <v>26</v>
      </c>
      <c r="M506" s="3" t="s">
        <v>27</v>
      </c>
      <c r="N506" s="3" t="s">
        <v>28</v>
      </c>
      <c r="O506" s="3" t="s">
        <v>98</v>
      </c>
      <c r="P506" s="3" t="s">
        <v>589</v>
      </c>
      <c r="S506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7" spans="1:19" x14ac:dyDescent="0.2">
      <c r="A507" s="4">
        <v>1479</v>
      </c>
      <c r="B507" s="3">
        <v>2</v>
      </c>
      <c r="C507" s="3" t="s">
        <v>982</v>
      </c>
      <c r="D507" s="3" t="s">
        <v>983</v>
      </c>
      <c r="E507" s="3" t="s">
        <v>21</v>
      </c>
      <c r="F507" s="3" t="s">
        <v>39</v>
      </c>
      <c r="G507" s="3" t="s">
        <v>40</v>
      </c>
      <c r="I507" s="3" t="s">
        <v>41</v>
      </c>
      <c r="M507" s="3" t="s">
        <v>984</v>
      </c>
      <c r="N507" s="3" t="s">
        <v>43</v>
      </c>
      <c r="O507" s="3" t="s">
        <v>985</v>
      </c>
      <c r="S507" s="3" t="str">
        <f t="shared" si="7"/>
        <v>WITH ZDATA AS
(SELECT NVL(kfc.VALUE,0)-NVL(kfc2.VALUE,0) AS Value, 
'123' AS BusinessObjectKey, 
kfc.CHARACTERISTIC AS Characteristic
FROM SUM_1479_VOR_ABZUG kfc
JOIN SUM_1479_ABZUG kfc2 ON kfc.BO_KEY = kfc2.BO_KEY AND kfc.CHARACTERISTIC = kfc2.CHARACTERISTIC
) 
SELECT 'SUM_1479' AS KeyFigureName,
'123456' AS ProcessingRunId, 
'12345' AS WaveId, 
Characteristic, BusinessObjectKey, 
Value AS Value 
FROM ZDATA 
ORDER BY BusinessObjectKey;</v>
      </c>
    </row>
    <row r="508" spans="1:19" x14ac:dyDescent="0.2">
      <c r="A508" s="4">
        <v>1479</v>
      </c>
      <c r="B508" s="3">
        <v>3</v>
      </c>
      <c r="C508" s="3" t="s">
        <v>986</v>
      </c>
      <c r="D508" s="3" t="s">
        <v>987</v>
      </c>
      <c r="E508" s="3" t="s">
        <v>21</v>
      </c>
      <c r="F508" s="3" t="s">
        <v>101</v>
      </c>
      <c r="G508" s="3" t="s">
        <v>40</v>
      </c>
      <c r="I508" s="3" t="s">
        <v>41</v>
      </c>
      <c r="M508" s="3" t="s">
        <v>988</v>
      </c>
      <c r="N508" s="3" t="s">
        <v>43</v>
      </c>
      <c r="O508" s="3" t="s">
        <v>989</v>
      </c>
      <c r="P508" s="3" t="s">
        <v>55</v>
      </c>
      <c r="S508" s="3" t="str">
        <f t="shared" si="7"/>
        <v>WITH ZDATA AS
(SELECT TRUNC(NVL(kfc.VALUE,0) / NVL(kfc2.VALUE,0),10) AS Value, 
'123' AS BusinessObjectKey, 
kfc.CHARACTERISTIC AS Characteristic
FROM SUM_1479 kfc
JOIN SUM_1471 kfc2 ON kfc.CHARACTERISTIC = kfc2.CHARACTERISTIC
WHERE kfc2.VALUE &lt;&gt; 0 AND kfc2.VALUE IS NOT NULL
) 
SELECT 'ANTEIL_1479' AS KeyFigureName,
'123456' AS ProcessingRunId, 
'12345' AS WaveId, 
Characteristic, BusinessObjectKey, 
Value AS Value 
FROM ZDATA 
ORDER BY BusinessObjectKey;</v>
      </c>
    </row>
    <row r="509" spans="1:19" x14ac:dyDescent="0.2">
      <c r="A509" s="4">
        <v>1479</v>
      </c>
      <c r="B509" s="3">
        <v>4</v>
      </c>
      <c r="C509" s="3" t="s">
        <v>990</v>
      </c>
      <c r="D509" s="3" t="s">
        <v>991</v>
      </c>
      <c r="E509" s="3" t="s">
        <v>21</v>
      </c>
      <c r="F509" s="3" t="s">
        <v>39</v>
      </c>
      <c r="G509" s="3" t="s">
        <v>40</v>
      </c>
      <c r="I509" s="3" t="s">
        <v>41</v>
      </c>
      <c r="M509" s="3" t="s">
        <v>992</v>
      </c>
      <c r="N509" s="3" t="s">
        <v>43</v>
      </c>
      <c r="O509" s="3" t="s">
        <v>993</v>
      </c>
      <c r="S509" s="3" t="str">
        <f t="shared" si="7"/>
        <v>WITH ZDATA AS
(SELECT NVL(kfc.VALUE,0)-NVL(kfc2.VALUE,0) AS Value, 
'123' AS BusinessObjectKey, 
kfc.CHARACTERISTIC AS Characteristic
FROM ANTEIL_1479 kfc
JOIN PDP_ANTEIL_1479 kfc2 ON kfc.BO_KEY = kfc2.BO_KEY AND kfc.CHARACTERISTIC = kfc2.CHARACTERISTIC
) 
SELECT 'VGL_ANTEIL_1479' AS KeyFigureName,
'123456' AS ProcessingRunId, 
'12345' AS WaveId, 
Characteristic, BusinessObjectKey, 
Value AS Value 
FROM ZDATA 
ORDER BY BusinessObjectKey;</v>
      </c>
    </row>
    <row r="510" spans="1:19" x14ac:dyDescent="0.2">
      <c r="A510" s="4">
        <v>1480</v>
      </c>
      <c r="B510" s="3">
        <v>1</v>
      </c>
      <c r="C510" s="3" t="s">
        <v>994</v>
      </c>
      <c r="D510" s="3" t="s">
        <v>898</v>
      </c>
      <c r="E510" s="3" t="s">
        <v>21</v>
      </c>
      <c r="F510" s="3" t="s">
        <v>995</v>
      </c>
      <c r="H510" s="3" t="s">
        <v>61</v>
      </c>
      <c r="I510" s="3" t="s">
        <v>21</v>
      </c>
      <c r="J510" s="3" t="s">
        <v>900</v>
      </c>
      <c r="K510" s="3" t="s">
        <v>901</v>
      </c>
      <c r="L510" s="3" t="s">
        <v>26</v>
      </c>
      <c r="M510" s="3" t="s">
        <v>27</v>
      </c>
      <c r="N510" s="3" t="s">
        <v>28</v>
      </c>
      <c r="O510" s="3" t="s">
        <v>902</v>
      </c>
      <c r="P510" s="3" t="s">
        <v>903</v>
      </c>
      <c r="S510" s="3" t="str">
        <f t="shared" si="7"/>
        <v>WITH ZDATA AS
(SELECT NVL(pdp.UV_KTR_60,0)+NVL(pdp.UV_KTR_61,0)+NVL(pdp.UV_KTR_62,0)+NVL(pdp.UV_KTR_65,0)+NVL(pdp.UV_KTR_66,0)+NVL(pdp.UV_KTR_68,0)+NVL(pdp.UV_KTR_69,0)+NVL(pdp.UV_KTR_697,0) AS Value, 
'123' AS BusinessObjectKey, 
CASE WHEN pdp.UV_KTR_TYP=1  THEN 'STAT' ELSE 'OTHER' 
END AS Characteristic
FROM ADMINISTRATIVES adm
JOIN PDP_KOSTENTRAEGERFALL pdp ON adm.UV_FALL_ID=pdp.UV_FALL_ID
WHERE adm.UV_ABC_FALL IN ('B','C')
) 
SELECT 'SUM_1480_KTF_ABZUG' AS KeyFigureName,
'123456' AS ProcessingRunId, 
'12345' AS WaveId, 
Characteristic, BusinessObjectKey, 
SUM(Value) AS Value 
FROM ZDATA 
GROUP BY Characteristic, BusinessObjectKey
ORDER BY BusinessObjectKey;</v>
      </c>
    </row>
    <row r="511" spans="1:19" x14ac:dyDescent="0.2">
      <c r="A511" s="4">
        <v>1480</v>
      </c>
      <c r="B511" s="3">
        <v>1</v>
      </c>
      <c r="C511" s="3" t="s">
        <v>996</v>
      </c>
      <c r="D511" s="3" t="s">
        <v>59</v>
      </c>
      <c r="E511" s="3" t="s">
        <v>21</v>
      </c>
      <c r="F511" s="3" t="s">
        <v>97</v>
      </c>
      <c r="H511" s="3" t="s">
        <v>61</v>
      </c>
      <c r="I511" s="3" t="s">
        <v>21</v>
      </c>
      <c r="J511" s="3" t="s">
        <v>900</v>
      </c>
      <c r="K511" s="3" t="s">
        <v>589</v>
      </c>
      <c r="L511" s="3" t="s">
        <v>26</v>
      </c>
      <c r="M511" s="3" t="s">
        <v>64</v>
      </c>
      <c r="N511" s="3" t="s">
        <v>28</v>
      </c>
      <c r="S511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ktf.UV_KTR_TYP=1 THEN 'STAT'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2" spans="1:19" x14ac:dyDescent="0.2">
      <c r="A512" s="4">
        <v>1480</v>
      </c>
      <c r="B512" s="3">
        <v>1</v>
      </c>
      <c r="C512" s="3" t="s">
        <v>996</v>
      </c>
      <c r="D512" s="3" t="s">
        <v>59</v>
      </c>
      <c r="E512" s="3" t="s">
        <v>21</v>
      </c>
      <c r="F512" s="3" t="s">
        <v>97</v>
      </c>
      <c r="H512" s="3" t="s">
        <v>61</v>
      </c>
      <c r="I512" s="3" t="s">
        <v>21</v>
      </c>
      <c r="J512" s="3" t="s">
        <v>906</v>
      </c>
      <c r="K512" s="3" t="s">
        <v>907</v>
      </c>
      <c r="L512" s="3" t="s">
        <v>26</v>
      </c>
      <c r="M512" s="3" t="s">
        <v>64</v>
      </c>
      <c r="N512" s="3" t="s">
        <v>28</v>
      </c>
      <c r="S512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 BETWEEN 200 AND 499 THEN 'AMBU'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3" spans="1:19" x14ac:dyDescent="0.2">
      <c r="A513" s="4">
        <v>1480</v>
      </c>
      <c r="B513" s="3">
        <v>1</v>
      </c>
      <c r="C513" s="3" t="s">
        <v>996</v>
      </c>
      <c r="D513" s="3" t="s">
        <v>59</v>
      </c>
      <c r="E513" s="3" t="s">
        <v>21</v>
      </c>
      <c r="F513" s="3" t="s">
        <v>97</v>
      </c>
      <c r="H513" s="3" t="s">
        <v>61</v>
      </c>
      <c r="I513" s="3" t="s">
        <v>21</v>
      </c>
      <c r="J513" s="3" t="s">
        <v>908</v>
      </c>
      <c r="K513" s="3" t="s">
        <v>591</v>
      </c>
      <c r="L513" s="3" t="s">
        <v>26</v>
      </c>
      <c r="M513" s="3" t="s">
        <v>64</v>
      </c>
      <c r="N513" s="3" t="s">
        <v>28</v>
      </c>
      <c r="S513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ktf.UV_KTR_TYP=10 THEN 'NEBENBETRIEBE'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4" spans="1:19" x14ac:dyDescent="0.2">
      <c r="A514" s="4">
        <v>1480</v>
      </c>
      <c r="B514" s="3">
        <v>1</v>
      </c>
      <c r="C514" s="3" t="s">
        <v>996</v>
      </c>
      <c r="D514" s="3" t="s">
        <v>59</v>
      </c>
      <c r="E514" s="3" t="s">
        <v>21</v>
      </c>
      <c r="F514" s="3" t="s">
        <v>97</v>
      </c>
      <c r="H514" s="3" t="s">
        <v>61</v>
      </c>
      <c r="I514" s="3" t="s">
        <v>21</v>
      </c>
      <c r="J514" s="3" t="s">
        <v>909</v>
      </c>
      <c r="K514" s="3" t="s">
        <v>910</v>
      </c>
      <c r="L514" s="3" t="s">
        <v>26</v>
      </c>
      <c r="M514" s="3" t="s">
        <v>64</v>
      </c>
      <c r="N514" s="3" t="s">
        <v>28</v>
      </c>
      <c r="S514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 BETWEEN 500 AND 799 THEN 'GWL'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5" spans="1:19" x14ac:dyDescent="0.2">
      <c r="A515" s="4">
        <v>1480</v>
      </c>
      <c r="B515" s="3">
        <v>1</v>
      </c>
      <c r="C515" s="3" t="s">
        <v>996</v>
      </c>
      <c r="D515" s="3" t="s">
        <v>59</v>
      </c>
      <c r="E515" s="3" t="s">
        <v>21</v>
      </c>
      <c r="F515" s="3" t="s">
        <v>97</v>
      </c>
      <c r="H515" s="3" t="s">
        <v>61</v>
      </c>
      <c r="I515" s="3" t="s">
        <v>21</v>
      </c>
      <c r="J515" s="3" t="s">
        <v>911</v>
      </c>
      <c r="K515" s="3" t="s">
        <v>609</v>
      </c>
      <c r="L515" s="3" t="s">
        <v>26</v>
      </c>
      <c r="M515" s="3" t="s">
        <v>64</v>
      </c>
      <c r="N515" s="3" t="s">
        <v>28</v>
      </c>
      <c r="S515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ktf.UV_KTR_TYP=801 THEN 'UEBRIGE'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6" spans="1:19" x14ac:dyDescent="0.2">
      <c r="A516" s="4">
        <v>1480</v>
      </c>
      <c r="B516" s="3">
        <v>1</v>
      </c>
      <c r="C516" s="3" t="s">
        <v>997</v>
      </c>
      <c r="D516" s="3" t="s">
        <v>66</v>
      </c>
      <c r="E516" s="3" t="s">
        <v>41</v>
      </c>
      <c r="F516" s="3" t="s">
        <v>998</v>
      </c>
      <c r="H516" s="3" t="s">
        <v>61</v>
      </c>
      <c r="I516" s="3" t="s">
        <v>21</v>
      </c>
      <c r="J516" s="3" t="s">
        <v>900</v>
      </c>
      <c r="K516" s="3" t="s">
        <v>914</v>
      </c>
      <c r="L516" s="3" t="s">
        <v>26</v>
      </c>
      <c r="M516" s="3" t="s">
        <v>68</v>
      </c>
      <c r="N516" s="3" t="s">
        <v>28</v>
      </c>
      <c r="S516" s="3" t="str">
        <f t="shared" ref="S516:S579" si="8">IF(F516="","","WITH ZDATA AS
(SELECT "&amp;F516&amp;" AS Value, 
'123' AS BusinessObjectKey, 
"&amp;IF(I516="False","CASE WHEN "&amp;K516&amp;" THEN '"&amp;J516&amp;"' ELSE '"&amp;L516&amp;"' 
END AS Characteristic",G516)&amp;"
FROM "&amp;M516&amp;"
"&amp;O516&amp;"
"&amp;IF(P516="","", "WHERE "&amp;P516)&amp;"
"&amp;IF(Q516="","", "GROUP BY "&amp;Q516)&amp;"
"&amp;IF(R516="","", "HAVING "&amp;R516)&amp;"
) 
SELECT '"&amp;C516&amp;"' AS KeyFigureName,
'123456' AS ProcessingRunId, 
'12345' AS WaveId, 
Characteristic, BusinessObjectKey, 
"&amp;IF(H516="","Value",H516)&amp;" AS Value 
FROM ZDATA 
"&amp;IF(I516="False","GROUP BY Characteristic, BusinessObjectKey","")&amp;"
ORDER BY BusinessObjectKey;")</f>
        <v>WITH ZDATA AS
(SELECT NVL(kts.UV_KTR_60,0)+NVL(kts.UV_KTR_61,0)+NVL(kts.UV_KTR_62,0)+NVL(kts.UV_KTR_65,0)+NVL(kts.UV_KTR_66,0)+NVL(kts.UV_KTR_68,0)+NVL(kts.UV_KTR_69,0)+NVL(kts.UV_KTR_697,0) AS Value, 
'123' AS BusinessObjectKey, 
CASE WHEN kts.UV_KTR_TYP IN (101,102) THEN 'STAT'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7" spans="1:19" x14ac:dyDescent="0.2">
      <c r="A517" s="4">
        <v>1480</v>
      </c>
      <c r="B517" s="3">
        <v>1</v>
      </c>
      <c r="C517" s="3" t="s">
        <v>997</v>
      </c>
      <c r="D517" s="3" t="s">
        <v>66</v>
      </c>
      <c r="E517" s="3" t="s">
        <v>41</v>
      </c>
      <c r="F517" s="3" t="s">
        <v>998</v>
      </c>
      <c r="H517" s="3" t="s">
        <v>61</v>
      </c>
      <c r="I517" s="3" t="s">
        <v>21</v>
      </c>
      <c r="J517" s="3" t="s">
        <v>906</v>
      </c>
      <c r="K517" s="3" t="s">
        <v>915</v>
      </c>
      <c r="L517" s="3" t="s">
        <v>26</v>
      </c>
      <c r="M517" s="3" t="s">
        <v>68</v>
      </c>
      <c r="N517" s="3" t="s">
        <v>28</v>
      </c>
      <c r="S517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BETWEEN 200 AND 499 THEN 'AMBU'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8" spans="1:19" x14ac:dyDescent="0.2">
      <c r="A518" s="4">
        <v>1480</v>
      </c>
      <c r="B518" s="3">
        <v>1</v>
      </c>
      <c r="C518" s="3" t="s">
        <v>997</v>
      </c>
      <c r="D518" s="3" t="s">
        <v>66</v>
      </c>
      <c r="E518" s="3" t="s">
        <v>41</v>
      </c>
      <c r="F518" s="3" t="s">
        <v>998</v>
      </c>
      <c r="H518" s="3" t="s">
        <v>61</v>
      </c>
      <c r="I518" s="3" t="s">
        <v>21</v>
      </c>
      <c r="J518" s="3" t="s">
        <v>908</v>
      </c>
      <c r="K518" s="3" t="s">
        <v>613</v>
      </c>
      <c r="L518" s="3" t="s">
        <v>26</v>
      </c>
      <c r="M518" s="3" t="s">
        <v>68</v>
      </c>
      <c r="N518" s="3" t="s">
        <v>28</v>
      </c>
      <c r="S518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kts.UV_KTR_TYP=10 THEN 'NEBENBETRIEBE'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9" spans="1:19" x14ac:dyDescent="0.2">
      <c r="A519" s="4">
        <v>1480</v>
      </c>
      <c r="B519" s="3">
        <v>1</v>
      </c>
      <c r="C519" s="3" t="s">
        <v>997</v>
      </c>
      <c r="D519" s="3" t="s">
        <v>66</v>
      </c>
      <c r="E519" s="3" t="s">
        <v>41</v>
      </c>
      <c r="F519" s="3" t="s">
        <v>998</v>
      </c>
      <c r="H519" s="3" t="s">
        <v>61</v>
      </c>
      <c r="I519" s="3" t="s">
        <v>21</v>
      </c>
      <c r="J519" s="3" t="s">
        <v>909</v>
      </c>
      <c r="K519" s="3" t="s">
        <v>916</v>
      </c>
      <c r="L519" s="3" t="s">
        <v>26</v>
      </c>
      <c r="M519" s="3" t="s">
        <v>68</v>
      </c>
      <c r="N519" s="3" t="s">
        <v>28</v>
      </c>
      <c r="S519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BETWEEN 500 AND 799 THEN 'GWL'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20" spans="1:19" x14ac:dyDescent="0.2">
      <c r="A520" s="4">
        <v>1480</v>
      </c>
      <c r="B520" s="3">
        <v>1</v>
      </c>
      <c r="C520" s="3" t="s">
        <v>997</v>
      </c>
      <c r="D520" s="3" t="s">
        <v>66</v>
      </c>
      <c r="E520" s="3" t="s">
        <v>41</v>
      </c>
      <c r="F520" s="3" t="s">
        <v>998</v>
      </c>
      <c r="H520" s="3" t="s">
        <v>61</v>
      </c>
      <c r="I520" s="3" t="s">
        <v>21</v>
      </c>
      <c r="J520" s="3" t="s">
        <v>911</v>
      </c>
      <c r="K520" s="3" t="s">
        <v>622</v>
      </c>
      <c r="L520" s="3" t="s">
        <v>26</v>
      </c>
      <c r="M520" s="3" t="s">
        <v>68</v>
      </c>
      <c r="N520" s="3" t="s">
        <v>28</v>
      </c>
      <c r="S520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kts.UV_KTR_TYP=801 THEN 'UEBRIGE'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21" spans="1:19" x14ac:dyDescent="0.2">
      <c r="A521" s="4">
        <v>1480</v>
      </c>
      <c r="B521" s="3">
        <v>1</v>
      </c>
      <c r="C521" s="3" t="s">
        <v>999</v>
      </c>
      <c r="D521" s="3" t="s">
        <v>70</v>
      </c>
      <c r="E521" s="3" t="s">
        <v>41</v>
      </c>
      <c r="F521" s="3" t="s">
        <v>1000</v>
      </c>
      <c r="H521" s="3" t="s">
        <v>61</v>
      </c>
      <c r="I521" s="3" t="s">
        <v>21</v>
      </c>
      <c r="J521" s="3" t="s">
        <v>900</v>
      </c>
      <c r="K521" s="3" t="s">
        <v>919</v>
      </c>
      <c r="L521" s="3" t="s">
        <v>26</v>
      </c>
      <c r="M521" s="3" t="s">
        <v>72</v>
      </c>
      <c r="N521" s="3" t="s">
        <v>28</v>
      </c>
      <c r="S521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IN (101,102) THEN 'STAT'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2" spans="1:19" x14ac:dyDescent="0.2">
      <c r="A522" s="4">
        <v>1480</v>
      </c>
      <c r="B522" s="3">
        <v>1</v>
      </c>
      <c r="C522" s="3" t="s">
        <v>999</v>
      </c>
      <c r="D522" s="3" t="s">
        <v>70</v>
      </c>
      <c r="E522" s="3" t="s">
        <v>41</v>
      </c>
      <c r="F522" s="3" t="s">
        <v>1000</v>
      </c>
      <c r="H522" s="3" t="s">
        <v>61</v>
      </c>
      <c r="I522" s="3" t="s">
        <v>21</v>
      </c>
      <c r="J522" s="3" t="s">
        <v>906</v>
      </c>
      <c r="K522" s="3" t="s">
        <v>920</v>
      </c>
      <c r="L522" s="3" t="s">
        <v>26</v>
      </c>
      <c r="M522" s="3" t="s">
        <v>72</v>
      </c>
      <c r="N522" s="3" t="s">
        <v>28</v>
      </c>
      <c r="S522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BETWEEN 200 AND 499 THEN 'AMBU'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3" spans="1:19" x14ac:dyDescent="0.2">
      <c r="A523" s="4">
        <v>1480</v>
      </c>
      <c r="B523" s="3">
        <v>1</v>
      </c>
      <c r="C523" s="3" t="s">
        <v>999</v>
      </c>
      <c r="D523" s="3" t="s">
        <v>70</v>
      </c>
      <c r="E523" s="3" t="s">
        <v>41</v>
      </c>
      <c r="F523" s="3" t="s">
        <v>1000</v>
      </c>
      <c r="H523" s="3" t="s">
        <v>61</v>
      </c>
      <c r="I523" s="3" t="s">
        <v>21</v>
      </c>
      <c r="J523" s="3" t="s">
        <v>908</v>
      </c>
      <c r="K523" s="3" t="s">
        <v>626</v>
      </c>
      <c r="L523" s="3" t="s">
        <v>26</v>
      </c>
      <c r="M523" s="3" t="s">
        <v>72</v>
      </c>
      <c r="N523" s="3" t="s">
        <v>28</v>
      </c>
      <c r="S523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ktu.UV_KTR_TYP=10 THEN 'NEBENBETRIEBE'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4" spans="1:19" x14ac:dyDescent="0.2">
      <c r="A524" s="4">
        <v>1480</v>
      </c>
      <c r="B524" s="3">
        <v>1</v>
      </c>
      <c r="C524" s="3" t="s">
        <v>999</v>
      </c>
      <c r="D524" s="3" t="s">
        <v>70</v>
      </c>
      <c r="E524" s="3" t="s">
        <v>41</v>
      </c>
      <c r="F524" s="3" t="s">
        <v>1000</v>
      </c>
      <c r="H524" s="3" t="s">
        <v>61</v>
      </c>
      <c r="I524" s="3" t="s">
        <v>21</v>
      </c>
      <c r="J524" s="3" t="s">
        <v>909</v>
      </c>
      <c r="K524" s="3" t="s">
        <v>921</v>
      </c>
      <c r="L524" s="3" t="s">
        <v>26</v>
      </c>
      <c r="M524" s="3" t="s">
        <v>72</v>
      </c>
      <c r="N524" s="3" t="s">
        <v>28</v>
      </c>
      <c r="S524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BETWEEN 500 AND 799 THEN 'GWL'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5" spans="1:19" x14ac:dyDescent="0.2">
      <c r="A525" s="4">
        <v>1480</v>
      </c>
      <c r="B525" s="3">
        <v>1</v>
      </c>
      <c r="C525" s="3" t="s">
        <v>999</v>
      </c>
      <c r="D525" s="3" t="s">
        <v>70</v>
      </c>
      <c r="E525" s="3" t="s">
        <v>41</v>
      </c>
      <c r="F525" s="3" t="s">
        <v>1000</v>
      </c>
      <c r="H525" s="3" t="s">
        <v>61</v>
      </c>
      <c r="I525" s="3" t="s">
        <v>21</v>
      </c>
      <c r="J525" s="3" t="s">
        <v>911</v>
      </c>
      <c r="K525" s="3" t="s">
        <v>635</v>
      </c>
      <c r="L525" s="3" t="s">
        <v>26</v>
      </c>
      <c r="M525" s="3" t="s">
        <v>72</v>
      </c>
      <c r="N525" s="3" t="s">
        <v>28</v>
      </c>
      <c r="S525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ktu.UV_KTR_TYP=801 THEN 'UEBRIGE'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6" spans="1:19" x14ac:dyDescent="0.2">
      <c r="A526" s="4">
        <v>1480</v>
      </c>
      <c r="B526" s="3">
        <v>1</v>
      </c>
      <c r="C526" s="3" t="s">
        <v>1001</v>
      </c>
      <c r="D526" s="3" t="s">
        <v>96</v>
      </c>
      <c r="E526" s="3" t="s">
        <v>21</v>
      </c>
      <c r="F526" s="3" t="s">
        <v>97</v>
      </c>
      <c r="H526" s="3" t="s">
        <v>61</v>
      </c>
      <c r="I526" s="3" t="s">
        <v>21</v>
      </c>
      <c r="J526" s="3" t="s">
        <v>1002</v>
      </c>
      <c r="K526" s="3" t="s">
        <v>589</v>
      </c>
      <c r="L526" s="3" t="s">
        <v>26</v>
      </c>
      <c r="M526" s="3" t="s">
        <v>27</v>
      </c>
      <c r="N526" s="3" t="s">
        <v>28</v>
      </c>
      <c r="O526" s="3" t="s">
        <v>98</v>
      </c>
      <c r="P526" s="3" t="s">
        <v>1003</v>
      </c>
      <c r="S526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ktf.UV_KTR_TYP=1 THEN 'ERLOESKONTEN' ELSE 'OTHER' 
END AS Characteristic
FROM ADMINISTRATIVES adm
JOIN KOSTENTRAEGERFALL ktf ON adm.UV_FALL_ID=ktf.UV_FALL_ID AND adm.UV_BURNR=ktf.UV_BURNR
WHERE adm.UV_ABC_FALL='A'
) 
SELECT 'SUM_1480_STUECKRECHNUNG_KTF' AS KeyFigureName,
'123456' AS ProcessingRunId, 
'12345' AS WaveId, 
Characteristic, BusinessObjectKey, 
SUM(Value) AS Value 
FROM ZDATA 
GROUP BY Characteristic, BusinessObjectKey
ORDER BY BusinessObjectKey;</v>
      </c>
    </row>
    <row r="527" spans="1:19" x14ac:dyDescent="0.2">
      <c r="A527" s="4">
        <v>1480</v>
      </c>
      <c r="B527" s="3">
        <v>1</v>
      </c>
      <c r="C527" s="3" t="s">
        <v>1004</v>
      </c>
      <c r="D527" s="3" t="s">
        <v>66</v>
      </c>
      <c r="E527" s="3" t="s">
        <v>41</v>
      </c>
      <c r="F527" s="3" t="s">
        <v>998</v>
      </c>
      <c r="H527" s="3" t="s">
        <v>61</v>
      </c>
      <c r="I527" s="3" t="s">
        <v>21</v>
      </c>
      <c r="J527" s="3" t="s">
        <v>1002</v>
      </c>
      <c r="K527" s="3" t="s">
        <v>1005</v>
      </c>
      <c r="L527" s="3" t="s">
        <v>26</v>
      </c>
      <c r="M527" s="3" t="s">
        <v>68</v>
      </c>
      <c r="N527" s="3" t="s">
        <v>28</v>
      </c>
      <c r="S527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&lt;&gt; 1 THEN 'ERLOESKONTEN' ELSE 'OTHER' 
END AS Characteristic
FROM KOSTENTRAEGERSTANDORT kts
) 
SELECT 'SUM_1480_STUECKRECHNUNG_KTS' AS KeyFigureName,
'123456' AS ProcessingRunId, 
'12345' AS WaveId, 
Characteristic, BusinessObjectKey, 
SUM(Value) AS Value 
FROM ZDATA 
GROUP BY Characteristic, BusinessObjectKey
ORDER BY BusinessObjectKey;</v>
      </c>
    </row>
    <row r="528" spans="1:19" x14ac:dyDescent="0.2">
      <c r="A528" s="4">
        <v>1480</v>
      </c>
      <c r="B528" s="3">
        <v>1</v>
      </c>
      <c r="C528" s="3" t="s">
        <v>1006</v>
      </c>
      <c r="D528" s="3" t="s">
        <v>70</v>
      </c>
      <c r="E528" s="3" t="s">
        <v>41</v>
      </c>
      <c r="F528" s="3" t="s">
        <v>1000</v>
      </c>
      <c r="H528" s="3" t="s">
        <v>61</v>
      </c>
      <c r="I528" s="3" t="s">
        <v>21</v>
      </c>
      <c r="J528" s="3" t="s">
        <v>1002</v>
      </c>
      <c r="K528" s="3" t="s">
        <v>1007</v>
      </c>
      <c r="L528" s="3" t="s">
        <v>26</v>
      </c>
      <c r="M528" s="3" t="s">
        <v>72</v>
      </c>
      <c r="N528" s="3" t="s">
        <v>28</v>
      </c>
      <c r="S528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&lt;&gt; 1 THEN 'ERLOESKONTEN' ELSE 'OTHER' 
END AS Characteristic
FROM KOSTENTRAEGERUNTERNEHMEN ktu
) 
SELECT 'SUM_1480_STUECKRECHNUNG_KTU' AS KeyFigureName,
'123456' AS ProcessingRunId, 
'12345' AS WaveId, 
Characteristic, BusinessObjectKey, 
SUM(Value) AS Value 
FROM ZDATA 
GROUP BY Characteristic, BusinessObjectKey
ORDER BY BusinessObjectKey;</v>
      </c>
    </row>
    <row r="529" spans="1:19" x14ac:dyDescent="0.2">
      <c r="A529" s="4">
        <v>1480</v>
      </c>
      <c r="B529" s="3">
        <v>2</v>
      </c>
      <c r="C529" s="3" t="s">
        <v>1008</v>
      </c>
      <c r="D529" s="3" t="s">
        <v>1009</v>
      </c>
      <c r="E529" s="3" t="s">
        <v>21</v>
      </c>
      <c r="F529" s="3" t="s">
        <v>39</v>
      </c>
      <c r="G529" s="3" t="s">
        <v>40</v>
      </c>
      <c r="I529" s="3" t="s">
        <v>41</v>
      </c>
      <c r="M529" s="3" t="s">
        <v>1010</v>
      </c>
      <c r="N529" s="3" t="s">
        <v>43</v>
      </c>
      <c r="O529" s="3" t="s">
        <v>1011</v>
      </c>
      <c r="S529" s="3" t="str">
        <f t="shared" si="8"/>
        <v>WITH ZDATA AS
(SELECT NVL(kfc.VALUE,0)-NVL(kfc2.VALUE,0) AS Value, 
'123' AS BusinessObjectKey, 
kfc.CHARACTERISTIC AS Characteristic
FROM SUM_1480_KTF_VOR_ABZUG kfc
LEFT JOIN SUM_1480_KTF_ABZUG kfc2 ON kfc.BO_KEY = kfc2.BO_KEY AND kfc.CHARACTERISTIC = kfc2.CHARACTERISTIC
) 
SELECT 'SUM_1480_KTF' AS KeyFigureName,
'123456' AS ProcessingRunId, 
'12345' AS WaveId, 
Characteristic, BusinessObjectKey, 
Value AS Value 
FROM ZDATA 
ORDER BY BusinessObjectKey;</v>
      </c>
    </row>
    <row r="530" spans="1:19" x14ac:dyDescent="0.2">
      <c r="A530" s="4">
        <v>1480</v>
      </c>
      <c r="B530" s="3">
        <v>2</v>
      </c>
      <c r="C530" s="3" t="s">
        <v>1012</v>
      </c>
      <c r="D530" s="3" t="s">
        <v>1013</v>
      </c>
      <c r="E530" s="3" t="s">
        <v>21</v>
      </c>
      <c r="F530" s="3" t="s">
        <v>81</v>
      </c>
      <c r="G530" s="3" t="s">
        <v>40</v>
      </c>
      <c r="I530" s="3" t="s">
        <v>41</v>
      </c>
      <c r="M530" s="3" t="s">
        <v>1014</v>
      </c>
      <c r="N530" s="3" t="s">
        <v>43</v>
      </c>
      <c r="O530" s="3" t="s">
        <v>1015</v>
      </c>
      <c r="S530" s="3" t="str">
        <f t="shared" si="8"/>
        <v>WITH ZDATA AS
(SELECT NVL(kfc.VALUE,0)+NVL(kfc2.VALUE,0)+NVL(kfc3.VALUE,0) AS Value, 
'123' AS BusinessObjectKey, 
kfc.CHARACTERISTIC AS Characteristic
FROM SUM_1480_STUECKRECHNUNG_KTF kfc
JOIN SUM_1480_STUECKRECHNUNG_KTS kfc2 ON kfc.BO_KEY = kfc2.BO_KEY AND kfc.CHARACTERISTIC = kfc2.CHARACTERISTIC JOIN SUM_1480_STUECKRECHNUNG_KTU kfc3 ON kfc.BO_KEY = kfc3.BO_KEY AND kfc.CHARACTERISTIC = kfc3.CHARACTERISTIC
) 
SELECT 'SUM_1480_STUECKRECHNUNG' AS KeyFigureName,
'123456' AS ProcessingRunId, 
'12345' AS WaveId, 
Characteristic, BusinessObjectKey, 
Value AS Value 
FROM ZDATA 
ORDER BY BusinessObjectKey;</v>
      </c>
    </row>
    <row r="531" spans="1:19" x14ac:dyDescent="0.2">
      <c r="A531" s="4">
        <v>1480</v>
      </c>
      <c r="B531" s="3">
        <v>3</v>
      </c>
      <c r="C531" s="3" t="s">
        <v>1016</v>
      </c>
      <c r="D531" s="3" t="s">
        <v>1017</v>
      </c>
      <c r="E531" s="3" t="s">
        <v>21</v>
      </c>
      <c r="F531" s="3" t="s">
        <v>81</v>
      </c>
      <c r="G531" s="3" t="s">
        <v>40</v>
      </c>
      <c r="I531" s="3" t="s">
        <v>41</v>
      </c>
      <c r="M531" s="3" t="s">
        <v>1018</v>
      </c>
      <c r="N531" s="3" t="s">
        <v>43</v>
      </c>
      <c r="O531" s="3" t="s">
        <v>1019</v>
      </c>
      <c r="S531" s="3" t="str">
        <f t="shared" si="8"/>
        <v>WITH ZDATA AS
(SELECT NVL(kfc.VALUE,0)+NVL(kfc2.VALUE,0)+NVL(kfc3.VALUE,0) AS Value, 
'123' AS BusinessObjectKey, 
kfc.CHARACTERISTIC AS Characteristic
FROM SUM_1480_KTF kfc
JOIN SUM_1480_KTS kfc2 ON kfc.BO_KEY = kfc2.BO_KEY AND kfc.CHARACTERISTIC = kfc2.CHARACTERISTIC JOIN SUM_1480_KTS kfc3 ON kfc.BO_KEY = kfc3.BO_KEY AND kfc.CHARACTERISTIC = kfc3.CHARACTERISTIC
) 
SELECT 'SUM_1480' AS KeyFigureName,
'123456' AS ProcessingRunId, 
'12345' AS WaveId, 
Characteristic, BusinessObjectKey, 
Value AS Value 
FROM ZDATA 
ORDER BY BusinessObjectKey;</v>
      </c>
    </row>
    <row r="532" spans="1:19" x14ac:dyDescent="0.2">
      <c r="A532" s="4">
        <v>1480</v>
      </c>
      <c r="B532" s="3">
        <v>4</v>
      </c>
      <c r="C532" s="3" t="s">
        <v>1020</v>
      </c>
      <c r="D532" s="3" t="s">
        <v>1021</v>
      </c>
      <c r="E532" s="3" t="s">
        <v>21</v>
      </c>
      <c r="F532" s="3" t="s">
        <v>101</v>
      </c>
      <c r="G532" s="3" t="s">
        <v>40</v>
      </c>
      <c r="I532" s="3" t="s">
        <v>41</v>
      </c>
      <c r="M532" s="3" t="s">
        <v>1022</v>
      </c>
      <c r="N532" s="3" t="s">
        <v>43</v>
      </c>
      <c r="O532" s="3" t="s">
        <v>975</v>
      </c>
      <c r="P532" s="3" t="s">
        <v>55</v>
      </c>
      <c r="S532" s="3" t="str">
        <f t="shared" si="8"/>
        <v>WITH ZDATA AS
(SELECT TRUNC(NVL(kfc.VALUE,0) / NVL(kfc2.VALUE,0),10) AS Value, 
'123' AS BusinessObjectKey, 
kfc.CHARACTERISTIC AS Characteristic
FROM SUM_1480 kfc
JOIN SUM_1465 kfc2 ON kfc.CHARACTERISTIC = kfc2.CHARACTERISTIC
WHERE kfc2.VALUE &lt;&gt; 0 AND kfc2.VALUE IS NOT NULL
) 
SELECT 'DECKUNGSGRAD_1480' AS KeyFigureName,
'123456' AS ProcessingRunId, 
'12345' AS WaveId, 
Characteristic, BusinessObjectKey, 
Value AS Value 
FROM ZDATA 
ORDER BY BusinessObjectKey;</v>
      </c>
    </row>
    <row r="533" spans="1:19" x14ac:dyDescent="0.2">
      <c r="A533" s="4">
        <v>1480</v>
      </c>
      <c r="B533" s="3">
        <v>5</v>
      </c>
      <c r="C533" s="3" t="s">
        <v>1023</v>
      </c>
      <c r="D533" s="3" t="s">
        <v>1024</v>
      </c>
      <c r="E533" s="3" t="s">
        <v>21</v>
      </c>
      <c r="F533" s="3" t="s">
        <v>39</v>
      </c>
      <c r="G533" s="3" t="s">
        <v>40</v>
      </c>
      <c r="I533" s="3" t="s">
        <v>41</v>
      </c>
      <c r="M533" s="3" t="s">
        <v>1025</v>
      </c>
      <c r="N533" s="3" t="s">
        <v>43</v>
      </c>
      <c r="O533" s="3" t="s">
        <v>1026</v>
      </c>
      <c r="S533" s="3" t="str">
        <f t="shared" si="8"/>
        <v>WITH ZDATA AS
(SELECT NVL(kfc.VALUE,0)-NVL(kfc2.VALUE,0) AS Value, 
'123' AS BusinessObjectKey, 
kfc.CHARACTERISTIC AS Characteristic
FROM DECKUNGSGRAD_1480 kfc
JOIN PDP_DECKUNGSGRAD_1480 kfc2 ON kfc.BO_KEY = kfc2.BO_KEY AND kfc.CHARACTERISTIC = kfc2.CHARACTERISTIC
) 
SELECT 'VGL_DECKUNGSGRAD_1480' AS KeyFigureName,
'123456' AS ProcessingRunId, 
'12345' AS WaveId, 
Characteristic, BusinessObjectKey, 
Value AS Value 
FROM ZDATA 
ORDER BY BusinessObjectKey;</v>
      </c>
    </row>
    <row r="534" spans="1:19" x14ac:dyDescent="0.2">
      <c r="A534" s="4">
        <v>1486</v>
      </c>
      <c r="B534" s="3">
        <v>1</v>
      </c>
      <c r="C534" s="3" t="s">
        <v>1027</v>
      </c>
      <c r="D534" s="3" t="s">
        <v>898</v>
      </c>
      <c r="E534" s="3" t="s">
        <v>21</v>
      </c>
      <c r="F534" s="3" t="s">
        <v>995</v>
      </c>
      <c r="H534" s="3" t="s">
        <v>61</v>
      </c>
      <c r="I534" s="3" t="s">
        <v>21</v>
      </c>
      <c r="J534" s="3" t="s">
        <v>91</v>
      </c>
      <c r="K534" s="3" t="s">
        <v>25</v>
      </c>
      <c r="L534" s="3" t="s">
        <v>26</v>
      </c>
      <c r="M534" s="3" t="s">
        <v>27</v>
      </c>
      <c r="N534" s="3" t="s">
        <v>28</v>
      </c>
      <c r="O534" s="3" t="s">
        <v>902</v>
      </c>
      <c r="P534" s="3" t="s">
        <v>941</v>
      </c>
      <c r="S534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5" spans="1:19" x14ac:dyDescent="0.2">
      <c r="A535" s="4">
        <v>1486</v>
      </c>
      <c r="B535" s="3">
        <v>1</v>
      </c>
      <c r="C535" s="3" t="s">
        <v>1027</v>
      </c>
      <c r="D535" s="3" t="s">
        <v>898</v>
      </c>
      <c r="E535" s="3" t="s">
        <v>21</v>
      </c>
      <c r="F535" s="3" t="s">
        <v>995</v>
      </c>
      <c r="H535" s="3" t="s">
        <v>61</v>
      </c>
      <c r="I535" s="3" t="s">
        <v>21</v>
      </c>
      <c r="J535" s="3" t="s">
        <v>94</v>
      </c>
      <c r="K535" s="3" t="s">
        <v>35</v>
      </c>
      <c r="L535" s="3" t="s">
        <v>26</v>
      </c>
      <c r="M535" s="3" t="s">
        <v>27</v>
      </c>
      <c r="N535" s="3" t="s">
        <v>28</v>
      </c>
      <c r="O535" s="3" t="s">
        <v>902</v>
      </c>
      <c r="P535" s="3" t="s">
        <v>941</v>
      </c>
      <c r="S535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6" spans="1:19" x14ac:dyDescent="0.2">
      <c r="A536" s="4">
        <v>1486</v>
      </c>
      <c r="B536" s="3">
        <v>1</v>
      </c>
      <c r="C536" s="3" t="s">
        <v>1027</v>
      </c>
      <c r="D536" s="3" t="s">
        <v>898</v>
      </c>
      <c r="E536" s="3" t="s">
        <v>21</v>
      </c>
      <c r="F536" s="3" t="s">
        <v>995</v>
      </c>
      <c r="H536" s="3" t="s">
        <v>61</v>
      </c>
      <c r="I536" s="3" t="s">
        <v>21</v>
      </c>
      <c r="J536" s="3" t="s">
        <v>93</v>
      </c>
      <c r="K536" s="3" t="s">
        <v>32</v>
      </c>
      <c r="L536" s="3" t="s">
        <v>26</v>
      </c>
      <c r="M536" s="3" t="s">
        <v>27</v>
      </c>
      <c r="N536" s="3" t="s">
        <v>28</v>
      </c>
      <c r="O536" s="3" t="s">
        <v>902</v>
      </c>
      <c r="P536" s="3" t="s">
        <v>941</v>
      </c>
      <c r="S536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7" spans="1:19" x14ac:dyDescent="0.2">
      <c r="A537" s="4">
        <v>1486</v>
      </c>
      <c r="B537" s="3">
        <v>1</v>
      </c>
      <c r="C537" s="3" t="s">
        <v>1027</v>
      </c>
      <c r="D537" s="3" t="s">
        <v>898</v>
      </c>
      <c r="E537" s="3" t="s">
        <v>21</v>
      </c>
      <c r="F537" s="3" t="s">
        <v>995</v>
      </c>
      <c r="H537" s="3" t="s">
        <v>61</v>
      </c>
      <c r="I537" s="3" t="s">
        <v>21</v>
      </c>
      <c r="J537" s="3" t="s">
        <v>911</v>
      </c>
      <c r="K537" s="3" t="s">
        <v>942</v>
      </c>
      <c r="L537" s="3" t="s">
        <v>26</v>
      </c>
      <c r="M537" s="3" t="s">
        <v>27</v>
      </c>
      <c r="N537" s="3" t="s">
        <v>28</v>
      </c>
      <c r="O537" s="3" t="s">
        <v>902</v>
      </c>
      <c r="P537" s="3" t="s">
        <v>941</v>
      </c>
      <c r="S537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8" spans="1:19" x14ac:dyDescent="0.2">
      <c r="A538" s="4">
        <v>1486</v>
      </c>
      <c r="B538" s="3">
        <v>1</v>
      </c>
      <c r="C538" s="3" t="s">
        <v>1028</v>
      </c>
      <c r="D538" s="3" t="s">
        <v>96</v>
      </c>
      <c r="E538" s="3" t="s">
        <v>21</v>
      </c>
      <c r="F538" s="3" t="s">
        <v>97</v>
      </c>
      <c r="H538" s="3" t="s">
        <v>61</v>
      </c>
      <c r="I538" s="3" t="s">
        <v>21</v>
      </c>
      <c r="J538" s="3" t="s">
        <v>91</v>
      </c>
      <c r="K538" s="3" t="s">
        <v>25</v>
      </c>
      <c r="L538" s="3" t="s">
        <v>26</v>
      </c>
      <c r="M538" s="3" t="s">
        <v>27</v>
      </c>
      <c r="N538" s="3" t="s">
        <v>28</v>
      </c>
      <c r="O538" s="3" t="s">
        <v>98</v>
      </c>
      <c r="P538" s="3" t="s">
        <v>589</v>
      </c>
      <c r="S538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adm.UV_TARIF=1 THEN 'TARIF_1'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39" spans="1:19" x14ac:dyDescent="0.2">
      <c r="A539" s="4">
        <v>1486</v>
      </c>
      <c r="B539" s="3">
        <v>1</v>
      </c>
      <c r="C539" s="3" t="s">
        <v>1028</v>
      </c>
      <c r="D539" s="3" t="s">
        <v>96</v>
      </c>
      <c r="E539" s="3" t="s">
        <v>21</v>
      </c>
      <c r="F539" s="3" t="s">
        <v>97</v>
      </c>
      <c r="H539" s="3" t="s">
        <v>61</v>
      </c>
      <c r="I539" s="3" t="s">
        <v>21</v>
      </c>
      <c r="J539" s="3" t="s">
        <v>94</v>
      </c>
      <c r="K539" s="3" t="s">
        <v>35</v>
      </c>
      <c r="L539" s="3" t="s">
        <v>26</v>
      </c>
      <c r="M539" s="3" t="s">
        <v>27</v>
      </c>
      <c r="N539" s="3" t="s">
        <v>28</v>
      </c>
      <c r="O539" s="3" t="s">
        <v>98</v>
      </c>
      <c r="P539" s="3" t="s">
        <v>589</v>
      </c>
      <c r="S539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adm.UV_TARIF=3 THEN 'TARIF_3'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0" spans="1:19" x14ac:dyDescent="0.2">
      <c r="A540" s="4">
        <v>1486</v>
      </c>
      <c r="B540" s="3">
        <v>1</v>
      </c>
      <c r="C540" s="3" t="s">
        <v>1028</v>
      </c>
      <c r="D540" s="3" t="s">
        <v>96</v>
      </c>
      <c r="E540" s="3" t="s">
        <v>21</v>
      </c>
      <c r="F540" s="3" t="s">
        <v>97</v>
      </c>
      <c r="H540" s="3" t="s">
        <v>61</v>
      </c>
      <c r="I540" s="3" t="s">
        <v>21</v>
      </c>
      <c r="J540" s="3" t="s">
        <v>93</v>
      </c>
      <c r="K540" s="3" t="s">
        <v>32</v>
      </c>
      <c r="L540" s="3" t="s">
        <v>26</v>
      </c>
      <c r="M540" s="3" t="s">
        <v>27</v>
      </c>
      <c r="N540" s="3" t="s">
        <v>28</v>
      </c>
      <c r="O540" s="3" t="s">
        <v>98</v>
      </c>
      <c r="P540" s="3" t="s">
        <v>589</v>
      </c>
      <c r="S540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adm.UV_TARIF=5 THEN 'TARIF_5'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1" spans="1:19" x14ac:dyDescent="0.2">
      <c r="A541" s="4">
        <v>1486</v>
      </c>
      <c r="B541" s="3">
        <v>1</v>
      </c>
      <c r="C541" s="3" t="s">
        <v>1028</v>
      </c>
      <c r="D541" s="3" t="s">
        <v>96</v>
      </c>
      <c r="E541" s="3" t="s">
        <v>21</v>
      </c>
      <c r="F541" s="3" t="s">
        <v>97</v>
      </c>
      <c r="H541" s="3" t="s">
        <v>61</v>
      </c>
      <c r="I541" s="3" t="s">
        <v>21</v>
      </c>
      <c r="J541" s="3" t="s">
        <v>911</v>
      </c>
      <c r="K541" s="3" t="s">
        <v>942</v>
      </c>
      <c r="L541" s="3" t="s">
        <v>26</v>
      </c>
      <c r="M541" s="3" t="s">
        <v>27</v>
      </c>
      <c r="N541" s="3" t="s">
        <v>28</v>
      </c>
      <c r="O541" s="3" t="s">
        <v>98</v>
      </c>
      <c r="P541" s="3" t="s">
        <v>589</v>
      </c>
      <c r="S541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2" spans="1:19" x14ac:dyDescent="0.2">
      <c r="A542" s="4">
        <v>1486</v>
      </c>
      <c r="B542" s="3">
        <v>2</v>
      </c>
      <c r="C542" s="3" t="s">
        <v>1029</v>
      </c>
      <c r="D542" s="3" t="s">
        <v>1030</v>
      </c>
      <c r="E542" s="3" t="s">
        <v>21</v>
      </c>
      <c r="F542" s="3" t="s">
        <v>39</v>
      </c>
      <c r="G542" s="3" t="s">
        <v>40</v>
      </c>
      <c r="I542" s="3" t="s">
        <v>41</v>
      </c>
      <c r="M542" s="3" t="s">
        <v>1031</v>
      </c>
      <c r="N542" s="3" t="s">
        <v>43</v>
      </c>
      <c r="O542" s="3" t="s">
        <v>1032</v>
      </c>
      <c r="S542" s="3" t="str">
        <f t="shared" si="8"/>
        <v>WITH ZDATA AS
(SELECT NVL(kfc.VALUE,0)-NVL(kfc2.VALUE,0) AS Value, 
'123' AS BusinessObjectKey, 
kfc.CHARACTERISTIC AS Characteristic
FROM SUM_1486_VOR_ABZUG kfc
JOIN SUM_1486_ABZUG kfc2 ON kfc.BO_KEY = kfc2.BO_KEY AND kfc.CHARACTERISTIC = kfc2.CHARACTERISTIC
) 
SELECT 'SUM_1486' AS KeyFigureName,
'123456' AS ProcessingRunId, 
'12345' AS WaveId, 
Characteristic, BusinessObjectKey, 
Value AS Value 
FROM ZDATA 
ORDER BY BusinessObjectKey;</v>
      </c>
    </row>
    <row r="543" spans="1:19" x14ac:dyDescent="0.2">
      <c r="A543" s="4">
        <v>1486</v>
      </c>
      <c r="B543" s="3">
        <v>3</v>
      </c>
      <c r="C543" s="3" t="s">
        <v>1033</v>
      </c>
      <c r="D543" s="3" t="s">
        <v>1034</v>
      </c>
      <c r="E543" s="3" t="s">
        <v>21</v>
      </c>
      <c r="F543" s="3" t="s">
        <v>101</v>
      </c>
      <c r="G543" s="3" t="s">
        <v>40</v>
      </c>
      <c r="I543" s="3" t="s">
        <v>41</v>
      </c>
      <c r="M543" s="3" t="s">
        <v>1035</v>
      </c>
      <c r="N543" s="3" t="s">
        <v>43</v>
      </c>
      <c r="O543" s="3" t="s">
        <v>1036</v>
      </c>
      <c r="P543" s="3" t="s">
        <v>55</v>
      </c>
      <c r="S543" s="3" t="str">
        <f t="shared" si="8"/>
        <v>WITH ZDATA AS
(SELECT TRUNC(NVL(kfc.VALUE,0) / NVL(kfc2.VALUE,0),10) AS Value, 
'123' AS BusinessObjectKey, 
kfc.CHARACTERISTIC AS Characteristic
FROM SUM_1486 kfc
JOIN SUM_1471 kfc2 ON kfc.BO_KEY = kfc2.BO_KEY AND kfc.CHARACTERISTIC = kfc2.CHARACTERISTIC
WHERE kfc2.VALUE &lt;&gt; 0 AND kfc2.VALUE IS NOT NULL
) 
SELECT 'DECKUNGSGRAD_1486' AS KeyFigureName,
'123456' AS ProcessingRunId, 
'12345' AS WaveId, 
Characteristic, BusinessObjectKey, 
Value AS Value 
FROM ZDATA 
ORDER BY BusinessObjectKey;</v>
      </c>
    </row>
    <row r="544" spans="1:19" x14ac:dyDescent="0.2">
      <c r="A544" s="4">
        <v>1486</v>
      </c>
      <c r="B544" s="3">
        <v>4</v>
      </c>
      <c r="C544" s="3" t="s">
        <v>1037</v>
      </c>
      <c r="D544" s="3" t="s">
        <v>1038</v>
      </c>
      <c r="E544" s="3" t="s">
        <v>21</v>
      </c>
      <c r="F544" s="3" t="s">
        <v>39</v>
      </c>
      <c r="G544" s="3" t="s">
        <v>40</v>
      </c>
      <c r="I544" s="3" t="s">
        <v>41</v>
      </c>
      <c r="M544" s="3" t="s">
        <v>1039</v>
      </c>
      <c r="N544" s="3" t="s">
        <v>43</v>
      </c>
      <c r="O544" s="3" t="s">
        <v>1040</v>
      </c>
      <c r="S544" s="3" t="str">
        <f t="shared" si="8"/>
        <v>WITH ZDATA AS
(SELECT NVL(kfc.VALUE,0)-NVL(kfc2.VALUE,0) AS Value, 
'123' AS BusinessObjectKey, 
kfc.CHARACTERISTIC AS Characteristic
FROM DECKUNGSGRAD_1486 kfc
JOIN PDP_DECKUNGSGRAD_1486 kfc2 ON kfc.BO_KEY = kfc2.BO_KEY AND kfc.CHARACTERISTIC = kfc2.CHARACTERISTIC
) 
SELECT 'VGL_DECKUNGSGRAD_1486' AS KeyFigureName,
'123456' AS ProcessingRunId, 
'12345' AS WaveId, 
Characteristic, BusinessObjectKey, 
Value AS Value 
FROM ZDATA 
ORDER BY BusinessObjectKey;</v>
      </c>
    </row>
    <row r="545" spans="1:19" x14ac:dyDescent="0.2">
      <c r="A545" s="4">
        <v>1487</v>
      </c>
      <c r="B545" s="3">
        <v>1</v>
      </c>
      <c r="C545" s="3" t="s">
        <v>1041</v>
      </c>
      <c r="D545" s="3" t="s">
        <v>898</v>
      </c>
      <c r="E545" s="3" t="s">
        <v>21</v>
      </c>
      <c r="F545" s="3" t="s">
        <v>995</v>
      </c>
      <c r="H545" s="3" t="s">
        <v>61</v>
      </c>
      <c r="I545" s="3" t="s">
        <v>21</v>
      </c>
      <c r="J545" s="3" t="s">
        <v>1042</v>
      </c>
      <c r="K545" s="3" t="s">
        <v>1043</v>
      </c>
      <c r="L545" s="3" t="s">
        <v>26</v>
      </c>
      <c r="M545" s="3" t="s">
        <v>27</v>
      </c>
      <c r="N545" s="3" t="s">
        <v>28</v>
      </c>
      <c r="O545" s="3" t="s">
        <v>902</v>
      </c>
      <c r="P545" s="3" t="s">
        <v>903</v>
      </c>
      <c r="S545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adm.UV_TARIF=1 THEN 'LIEGEKLASSE_1_TARIF_1'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6" spans="1:19" x14ac:dyDescent="0.2">
      <c r="A546" s="4">
        <v>1487</v>
      </c>
      <c r="B546" s="3">
        <v>1</v>
      </c>
      <c r="C546" s="3" t="s">
        <v>1041</v>
      </c>
      <c r="D546" s="3" t="s">
        <v>898</v>
      </c>
      <c r="E546" s="3" t="s">
        <v>21</v>
      </c>
      <c r="F546" s="3" t="s">
        <v>995</v>
      </c>
      <c r="H546" s="3" t="s">
        <v>61</v>
      </c>
      <c r="I546" s="3" t="s">
        <v>21</v>
      </c>
      <c r="J546" s="3" t="s">
        <v>1044</v>
      </c>
      <c r="K546" s="3" t="s">
        <v>1045</v>
      </c>
      <c r="L546" s="3" t="s">
        <v>26</v>
      </c>
      <c r="M546" s="3" t="s">
        <v>27</v>
      </c>
      <c r="N546" s="3" t="s">
        <v>28</v>
      </c>
      <c r="O546" s="3" t="s">
        <v>902</v>
      </c>
      <c r="P546" s="3" t="s">
        <v>903</v>
      </c>
      <c r="S546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adm.UV_TARIF=1 THEN 'LIEGEKLASSE_2_3_TARIF_1'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7" spans="1:19" x14ac:dyDescent="0.2">
      <c r="A547" s="4">
        <v>1487</v>
      </c>
      <c r="B547" s="3">
        <v>1</v>
      </c>
      <c r="C547" s="3" t="s">
        <v>1041</v>
      </c>
      <c r="D547" s="3" t="s">
        <v>898</v>
      </c>
      <c r="E547" s="3" t="s">
        <v>21</v>
      </c>
      <c r="F547" s="3" t="s">
        <v>995</v>
      </c>
      <c r="H547" s="3" t="s">
        <v>61</v>
      </c>
      <c r="I547" s="3" t="s">
        <v>21</v>
      </c>
      <c r="J547" s="3" t="s">
        <v>1046</v>
      </c>
      <c r="K547" s="3" t="s">
        <v>1047</v>
      </c>
      <c r="L547" s="3" t="s">
        <v>26</v>
      </c>
      <c r="M547" s="3" t="s">
        <v>27</v>
      </c>
      <c r="N547" s="3" t="s">
        <v>28</v>
      </c>
      <c r="O547" s="3" t="s">
        <v>902</v>
      </c>
      <c r="P547" s="3" t="s">
        <v>903</v>
      </c>
      <c r="S547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adm.UV_TARIF=5 THEN 'LIEGEKLASSE_1_TARIF_5'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8" spans="1:19" x14ac:dyDescent="0.2">
      <c r="A548" s="4">
        <v>1487</v>
      </c>
      <c r="B548" s="3">
        <v>1</v>
      </c>
      <c r="C548" s="3" t="s">
        <v>1041</v>
      </c>
      <c r="D548" s="3" t="s">
        <v>898</v>
      </c>
      <c r="E548" s="3" t="s">
        <v>21</v>
      </c>
      <c r="F548" s="3" t="s">
        <v>995</v>
      </c>
      <c r="H548" s="3" t="s">
        <v>61</v>
      </c>
      <c r="I548" s="3" t="s">
        <v>21</v>
      </c>
      <c r="J548" s="3" t="s">
        <v>1048</v>
      </c>
      <c r="K548" s="3" t="s">
        <v>1049</v>
      </c>
      <c r="L548" s="3" t="s">
        <v>26</v>
      </c>
      <c r="M548" s="3" t="s">
        <v>27</v>
      </c>
      <c r="N548" s="3" t="s">
        <v>28</v>
      </c>
      <c r="O548" s="3" t="s">
        <v>902</v>
      </c>
      <c r="P548" s="3" t="s">
        <v>903</v>
      </c>
      <c r="S548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adm.UV_TARIF=5 THEN 'LIEGEKLASSE_2_3_TARIF_5'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9" spans="1:19" x14ac:dyDescent="0.2">
      <c r="A549" s="4">
        <v>1487</v>
      </c>
      <c r="B549" s="3">
        <v>1</v>
      </c>
      <c r="C549" s="3" t="s">
        <v>1041</v>
      </c>
      <c r="D549" s="3" t="s">
        <v>898</v>
      </c>
      <c r="E549" s="3" t="s">
        <v>21</v>
      </c>
      <c r="F549" s="3" t="s">
        <v>995</v>
      </c>
      <c r="H549" s="3" t="s">
        <v>61</v>
      </c>
      <c r="I549" s="3" t="s">
        <v>21</v>
      </c>
      <c r="J549" s="3" t="s">
        <v>1050</v>
      </c>
      <c r="K549" s="3" t="s">
        <v>1051</v>
      </c>
      <c r="L549" s="3" t="s">
        <v>26</v>
      </c>
      <c r="M549" s="3" t="s">
        <v>27</v>
      </c>
      <c r="N549" s="3" t="s">
        <v>28</v>
      </c>
      <c r="O549" s="3" t="s">
        <v>902</v>
      </c>
      <c r="P549" s="3" t="s">
        <v>903</v>
      </c>
      <c r="S549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adm.UV_TARIF=3 THEN 'LIEGEKLASSE_1_TARIF_3'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50" spans="1:19" x14ac:dyDescent="0.2">
      <c r="A550" s="4">
        <v>1487</v>
      </c>
      <c r="B550" s="3">
        <v>1</v>
      </c>
      <c r="C550" s="3" t="s">
        <v>1041</v>
      </c>
      <c r="D550" s="3" t="s">
        <v>898</v>
      </c>
      <c r="E550" s="3" t="s">
        <v>21</v>
      </c>
      <c r="F550" s="3" t="s">
        <v>995</v>
      </c>
      <c r="H550" s="3" t="s">
        <v>61</v>
      </c>
      <c r="I550" s="3" t="s">
        <v>21</v>
      </c>
      <c r="J550" s="3" t="s">
        <v>1052</v>
      </c>
      <c r="K550" s="3" t="s">
        <v>1053</v>
      </c>
      <c r="L550" s="3" t="s">
        <v>26</v>
      </c>
      <c r="M550" s="3" t="s">
        <v>27</v>
      </c>
      <c r="N550" s="3" t="s">
        <v>28</v>
      </c>
      <c r="O550" s="3" t="s">
        <v>902</v>
      </c>
      <c r="P550" s="3" t="s">
        <v>903</v>
      </c>
      <c r="S550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adm.UV_TARIF=3 THEN 'LIEGEKLASSE_2_3_TARIF_3'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51" spans="1:19" x14ac:dyDescent="0.2">
      <c r="A551" s="4">
        <v>1487</v>
      </c>
      <c r="B551" s="3">
        <v>1</v>
      </c>
      <c r="C551" s="3" t="s">
        <v>1054</v>
      </c>
      <c r="D551" s="3" t="s">
        <v>96</v>
      </c>
      <c r="E551" s="3" t="s">
        <v>21</v>
      </c>
      <c r="F551" s="3" t="s">
        <v>97</v>
      </c>
      <c r="H551" s="3" t="s">
        <v>61</v>
      </c>
      <c r="I551" s="3" t="s">
        <v>21</v>
      </c>
      <c r="J551" s="3" t="s">
        <v>1042</v>
      </c>
      <c r="K551" s="3" t="s">
        <v>1043</v>
      </c>
      <c r="L551" s="3" t="s">
        <v>26</v>
      </c>
      <c r="M551" s="3" t="s">
        <v>27</v>
      </c>
      <c r="N551" s="3" t="s">
        <v>28</v>
      </c>
      <c r="O551" s="3" t="s">
        <v>98</v>
      </c>
      <c r="S551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adm.UV_TARIF=1 THEN 'LIEGEKLASSE_1_TARIF_1'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2" spans="1:19" x14ac:dyDescent="0.2">
      <c r="A552" s="4">
        <v>1487</v>
      </c>
      <c r="B552" s="3">
        <v>1</v>
      </c>
      <c r="C552" s="3" t="s">
        <v>1054</v>
      </c>
      <c r="D552" s="3" t="s">
        <v>96</v>
      </c>
      <c r="E552" s="3" t="s">
        <v>21</v>
      </c>
      <c r="F552" s="3" t="s">
        <v>97</v>
      </c>
      <c r="H552" s="3" t="s">
        <v>61</v>
      </c>
      <c r="I552" s="3" t="s">
        <v>21</v>
      </c>
      <c r="J552" s="3" t="s">
        <v>1044</v>
      </c>
      <c r="K552" s="3" t="s">
        <v>1045</v>
      </c>
      <c r="L552" s="3" t="s">
        <v>26</v>
      </c>
      <c r="M552" s="3" t="s">
        <v>27</v>
      </c>
      <c r="N552" s="3" t="s">
        <v>28</v>
      </c>
      <c r="O552" s="3" t="s">
        <v>98</v>
      </c>
      <c r="S552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adm.UV_TARIF=1 THEN 'LIEGEKLASSE_2_3_TARIF_1'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3" spans="1:19" x14ac:dyDescent="0.2">
      <c r="A553" s="4">
        <v>1487</v>
      </c>
      <c r="B553" s="3">
        <v>1</v>
      </c>
      <c r="C553" s="3" t="s">
        <v>1054</v>
      </c>
      <c r="D553" s="3" t="s">
        <v>96</v>
      </c>
      <c r="E553" s="3" t="s">
        <v>21</v>
      </c>
      <c r="F553" s="3" t="s">
        <v>97</v>
      </c>
      <c r="H553" s="3" t="s">
        <v>61</v>
      </c>
      <c r="I553" s="3" t="s">
        <v>21</v>
      </c>
      <c r="J553" s="3" t="s">
        <v>1046</v>
      </c>
      <c r="K553" s="3" t="s">
        <v>1047</v>
      </c>
      <c r="L553" s="3" t="s">
        <v>26</v>
      </c>
      <c r="M553" s="3" t="s">
        <v>27</v>
      </c>
      <c r="N553" s="3" t="s">
        <v>28</v>
      </c>
      <c r="O553" s="3" t="s">
        <v>98</v>
      </c>
      <c r="S553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adm.UV_TARIF=5 THEN 'LIEGEKLASSE_1_TARIF_5'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4" spans="1:19" x14ac:dyDescent="0.2">
      <c r="A554" s="4">
        <v>1487</v>
      </c>
      <c r="B554" s="3">
        <v>1</v>
      </c>
      <c r="C554" s="3" t="s">
        <v>1054</v>
      </c>
      <c r="D554" s="3" t="s">
        <v>96</v>
      </c>
      <c r="E554" s="3" t="s">
        <v>21</v>
      </c>
      <c r="F554" s="3" t="s">
        <v>97</v>
      </c>
      <c r="H554" s="3" t="s">
        <v>61</v>
      </c>
      <c r="I554" s="3" t="s">
        <v>21</v>
      </c>
      <c r="J554" s="3" t="s">
        <v>1048</v>
      </c>
      <c r="K554" s="3" t="s">
        <v>1049</v>
      </c>
      <c r="L554" s="3" t="s">
        <v>26</v>
      </c>
      <c r="M554" s="3" t="s">
        <v>27</v>
      </c>
      <c r="N554" s="3" t="s">
        <v>28</v>
      </c>
      <c r="O554" s="3" t="s">
        <v>98</v>
      </c>
      <c r="S554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adm.UV_TARIF=5 THEN 'LIEGEKLASSE_2_3_TARIF_5'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5" spans="1:19" x14ac:dyDescent="0.2">
      <c r="A555" s="4">
        <v>1487</v>
      </c>
      <c r="B555" s="3">
        <v>1</v>
      </c>
      <c r="C555" s="3" t="s">
        <v>1054</v>
      </c>
      <c r="D555" s="3" t="s">
        <v>96</v>
      </c>
      <c r="E555" s="3" t="s">
        <v>21</v>
      </c>
      <c r="F555" s="3" t="s">
        <v>97</v>
      </c>
      <c r="H555" s="3" t="s">
        <v>61</v>
      </c>
      <c r="I555" s="3" t="s">
        <v>21</v>
      </c>
      <c r="J555" s="3" t="s">
        <v>1050</v>
      </c>
      <c r="K555" s="3" t="s">
        <v>1051</v>
      </c>
      <c r="L555" s="3" t="s">
        <v>26</v>
      </c>
      <c r="M555" s="3" t="s">
        <v>27</v>
      </c>
      <c r="N555" s="3" t="s">
        <v>28</v>
      </c>
      <c r="O555" s="3" t="s">
        <v>98</v>
      </c>
      <c r="S555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adm.UV_TARIF=3 THEN 'LIEGEKLASSE_1_TARIF_3'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6" spans="1:19" x14ac:dyDescent="0.2">
      <c r="A556" s="4">
        <v>1487</v>
      </c>
      <c r="B556" s="3">
        <v>1</v>
      </c>
      <c r="C556" s="3" t="s">
        <v>1054</v>
      </c>
      <c r="D556" s="3" t="s">
        <v>96</v>
      </c>
      <c r="E556" s="3" t="s">
        <v>21</v>
      </c>
      <c r="F556" s="3" t="s">
        <v>97</v>
      </c>
      <c r="H556" s="3" t="s">
        <v>61</v>
      </c>
      <c r="I556" s="3" t="s">
        <v>21</v>
      </c>
      <c r="J556" s="3" t="s">
        <v>1052</v>
      </c>
      <c r="K556" s="3" t="s">
        <v>1053</v>
      </c>
      <c r="L556" s="3" t="s">
        <v>26</v>
      </c>
      <c r="M556" s="3" t="s">
        <v>27</v>
      </c>
      <c r="N556" s="3" t="s">
        <v>28</v>
      </c>
      <c r="O556" s="3" t="s">
        <v>98</v>
      </c>
      <c r="S556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adm.UV_TARIF=3 THEN 'LIEGEKLASSE_2_3_TARIF_3'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7" spans="1:19" x14ac:dyDescent="0.2">
      <c r="A557" s="4">
        <v>1487</v>
      </c>
      <c r="B557" s="3">
        <v>1</v>
      </c>
      <c r="C557" s="3" t="s">
        <v>1055</v>
      </c>
      <c r="D557" s="3" t="s">
        <v>898</v>
      </c>
      <c r="E557" s="3" t="s">
        <v>21</v>
      </c>
      <c r="F557" s="3" t="s">
        <v>899</v>
      </c>
      <c r="H557" s="3" t="s">
        <v>61</v>
      </c>
      <c r="I557" s="3" t="s">
        <v>21</v>
      </c>
      <c r="J557" s="3" t="s">
        <v>1042</v>
      </c>
      <c r="K557" s="3" t="s">
        <v>1043</v>
      </c>
      <c r="L557" s="3" t="s">
        <v>26</v>
      </c>
      <c r="M557" s="3" t="s">
        <v>27</v>
      </c>
      <c r="N557" s="3" t="s">
        <v>28</v>
      </c>
      <c r="O557" s="3" t="s">
        <v>902</v>
      </c>
      <c r="P557" s="3" t="s">
        <v>903</v>
      </c>
      <c r="S557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adm.UV_TARIF=1 THEN 'LIEGEKLASSE_1_TARIF_1'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58" spans="1:19" x14ac:dyDescent="0.2">
      <c r="A558" s="4">
        <v>1487</v>
      </c>
      <c r="B558" s="3">
        <v>1</v>
      </c>
      <c r="C558" s="3" t="s">
        <v>1055</v>
      </c>
      <c r="D558" s="3" t="s">
        <v>898</v>
      </c>
      <c r="E558" s="3" t="s">
        <v>21</v>
      </c>
      <c r="F558" s="3" t="s">
        <v>899</v>
      </c>
      <c r="H558" s="3" t="s">
        <v>61</v>
      </c>
      <c r="I558" s="3" t="s">
        <v>21</v>
      </c>
      <c r="J558" s="3" t="s">
        <v>1044</v>
      </c>
      <c r="K558" s="3" t="s">
        <v>1045</v>
      </c>
      <c r="L558" s="3" t="s">
        <v>26</v>
      </c>
      <c r="M558" s="3" t="s">
        <v>27</v>
      </c>
      <c r="N558" s="3" t="s">
        <v>28</v>
      </c>
      <c r="O558" s="3" t="s">
        <v>902</v>
      </c>
      <c r="P558" s="3" t="s">
        <v>903</v>
      </c>
      <c r="S558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adm.UV_TARIF=1 THEN 'LIEGEKLASSE_2_3_TARIF_1'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59" spans="1:19" x14ac:dyDescent="0.2">
      <c r="A559" s="4">
        <v>1487</v>
      </c>
      <c r="B559" s="3">
        <v>1</v>
      </c>
      <c r="C559" s="3" t="s">
        <v>1055</v>
      </c>
      <c r="D559" s="3" t="s">
        <v>898</v>
      </c>
      <c r="E559" s="3" t="s">
        <v>21</v>
      </c>
      <c r="F559" s="3" t="s">
        <v>899</v>
      </c>
      <c r="H559" s="3" t="s">
        <v>61</v>
      </c>
      <c r="I559" s="3" t="s">
        <v>21</v>
      </c>
      <c r="J559" s="3" t="s">
        <v>1046</v>
      </c>
      <c r="K559" s="3" t="s">
        <v>1047</v>
      </c>
      <c r="L559" s="3" t="s">
        <v>26</v>
      </c>
      <c r="M559" s="3" t="s">
        <v>27</v>
      </c>
      <c r="N559" s="3" t="s">
        <v>28</v>
      </c>
      <c r="O559" s="3" t="s">
        <v>902</v>
      </c>
      <c r="P559" s="3" t="s">
        <v>903</v>
      </c>
      <c r="S559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adm.UV_TARIF=5 THEN 'LIEGEKLASSE_1_TARIF_5'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0" spans="1:19" x14ac:dyDescent="0.2">
      <c r="A560" s="4">
        <v>1487</v>
      </c>
      <c r="B560" s="3">
        <v>1</v>
      </c>
      <c r="C560" s="3" t="s">
        <v>1055</v>
      </c>
      <c r="D560" s="3" t="s">
        <v>898</v>
      </c>
      <c r="E560" s="3" t="s">
        <v>21</v>
      </c>
      <c r="F560" s="3" t="s">
        <v>899</v>
      </c>
      <c r="H560" s="3" t="s">
        <v>61</v>
      </c>
      <c r="I560" s="3" t="s">
        <v>21</v>
      </c>
      <c r="J560" s="3" t="s">
        <v>1048</v>
      </c>
      <c r="K560" s="3" t="s">
        <v>1049</v>
      </c>
      <c r="L560" s="3" t="s">
        <v>26</v>
      </c>
      <c r="M560" s="3" t="s">
        <v>27</v>
      </c>
      <c r="N560" s="3" t="s">
        <v>28</v>
      </c>
      <c r="O560" s="3" t="s">
        <v>902</v>
      </c>
      <c r="P560" s="3" t="s">
        <v>903</v>
      </c>
      <c r="S560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adm.UV_TARIF=5 THEN 'LIEGEKLASSE_2_3_TARIF_5'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1" spans="1:19" x14ac:dyDescent="0.2">
      <c r="A561" s="4">
        <v>1487</v>
      </c>
      <c r="B561" s="3">
        <v>1</v>
      </c>
      <c r="C561" s="3" t="s">
        <v>1055</v>
      </c>
      <c r="D561" s="3" t="s">
        <v>898</v>
      </c>
      <c r="E561" s="3" t="s">
        <v>21</v>
      </c>
      <c r="F561" s="3" t="s">
        <v>899</v>
      </c>
      <c r="H561" s="3" t="s">
        <v>61</v>
      </c>
      <c r="I561" s="3" t="s">
        <v>21</v>
      </c>
      <c r="J561" s="3" t="s">
        <v>1050</v>
      </c>
      <c r="K561" s="3" t="s">
        <v>1051</v>
      </c>
      <c r="L561" s="3" t="s">
        <v>26</v>
      </c>
      <c r="M561" s="3" t="s">
        <v>27</v>
      </c>
      <c r="N561" s="3" t="s">
        <v>28</v>
      </c>
      <c r="O561" s="3" t="s">
        <v>902</v>
      </c>
      <c r="P561" s="3" t="s">
        <v>903</v>
      </c>
      <c r="S561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adm.UV_TARIF=3 THEN 'LIEGEKLASSE_1_TARIF_3'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2" spans="1:19" x14ac:dyDescent="0.2">
      <c r="A562" s="4">
        <v>1487</v>
      </c>
      <c r="B562" s="3">
        <v>1</v>
      </c>
      <c r="C562" s="3" t="s">
        <v>1055</v>
      </c>
      <c r="D562" s="3" t="s">
        <v>898</v>
      </c>
      <c r="E562" s="3" t="s">
        <v>21</v>
      </c>
      <c r="F562" s="3" t="s">
        <v>899</v>
      </c>
      <c r="H562" s="3" t="s">
        <v>61</v>
      </c>
      <c r="I562" s="3" t="s">
        <v>21</v>
      </c>
      <c r="J562" s="3" t="s">
        <v>1052</v>
      </c>
      <c r="K562" s="3" t="s">
        <v>1053</v>
      </c>
      <c r="L562" s="3" t="s">
        <v>26</v>
      </c>
      <c r="M562" s="3" t="s">
        <v>27</v>
      </c>
      <c r="N562" s="3" t="s">
        <v>28</v>
      </c>
      <c r="O562" s="3" t="s">
        <v>902</v>
      </c>
      <c r="P562" s="3" t="s">
        <v>903</v>
      </c>
      <c r="S562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adm.UV_TARIF=3 THEN 'LIEGEKLASSE_2_3_TARIF_3'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3" spans="1:19" x14ac:dyDescent="0.2">
      <c r="A563" s="4">
        <v>1487</v>
      </c>
      <c r="B563" s="3">
        <v>1</v>
      </c>
      <c r="C563" s="3" t="s">
        <v>1056</v>
      </c>
      <c r="D563" s="3" t="s">
        <v>96</v>
      </c>
      <c r="E563" s="3" t="s">
        <v>21</v>
      </c>
      <c r="F563" s="3" t="s">
        <v>109</v>
      </c>
      <c r="H563" s="3" t="s">
        <v>61</v>
      </c>
      <c r="I563" s="3" t="s">
        <v>21</v>
      </c>
      <c r="J563" s="3" t="s">
        <v>1042</v>
      </c>
      <c r="K563" s="3" t="s">
        <v>1043</v>
      </c>
      <c r="L563" s="3" t="s">
        <v>26</v>
      </c>
      <c r="M563" s="3" t="s">
        <v>27</v>
      </c>
      <c r="N563" s="3" t="s">
        <v>28</v>
      </c>
      <c r="O563" s="3" t="s">
        <v>98</v>
      </c>
      <c r="S563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adm.UV_TARIF=1 THEN 'LIEGEKLASSE_1_TARIF_1'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4" spans="1:19" x14ac:dyDescent="0.2">
      <c r="A564" s="4">
        <v>1487</v>
      </c>
      <c r="B564" s="3">
        <v>1</v>
      </c>
      <c r="C564" s="3" t="s">
        <v>1056</v>
      </c>
      <c r="D564" s="3" t="s">
        <v>96</v>
      </c>
      <c r="E564" s="3" t="s">
        <v>21</v>
      </c>
      <c r="F564" s="3" t="s">
        <v>109</v>
      </c>
      <c r="H564" s="3" t="s">
        <v>61</v>
      </c>
      <c r="I564" s="3" t="s">
        <v>21</v>
      </c>
      <c r="J564" s="3" t="s">
        <v>1044</v>
      </c>
      <c r="K564" s="3" t="s">
        <v>1045</v>
      </c>
      <c r="L564" s="3" t="s">
        <v>26</v>
      </c>
      <c r="M564" s="3" t="s">
        <v>27</v>
      </c>
      <c r="N564" s="3" t="s">
        <v>28</v>
      </c>
      <c r="O564" s="3" t="s">
        <v>98</v>
      </c>
      <c r="S564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adm.UV_TARIF=1 THEN 'LIEGEKLASSE_2_3_TARIF_1'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5" spans="1:19" x14ac:dyDescent="0.2">
      <c r="A565" s="4">
        <v>1487</v>
      </c>
      <c r="B565" s="3">
        <v>1</v>
      </c>
      <c r="C565" s="3" t="s">
        <v>1056</v>
      </c>
      <c r="D565" s="3" t="s">
        <v>96</v>
      </c>
      <c r="E565" s="3" t="s">
        <v>21</v>
      </c>
      <c r="F565" s="3" t="s">
        <v>109</v>
      </c>
      <c r="H565" s="3" t="s">
        <v>61</v>
      </c>
      <c r="I565" s="3" t="s">
        <v>21</v>
      </c>
      <c r="J565" s="3" t="s">
        <v>1046</v>
      </c>
      <c r="K565" s="3" t="s">
        <v>1047</v>
      </c>
      <c r="L565" s="3" t="s">
        <v>26</v>
      </c>
      <c r="M565" s="3" t="s">
        <v>27</v>
      </c>
      <c r="N565" s="3" t="s">
        <v>28</v>
      </c>
      <c r="O565" s="3" t="s">
        <v>98</v>
      </c>
      <c r="S565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adm.UV_TARIF=5 THEN 'LIEGEKLASSE_1_TARIF_5'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6" spans="1:19" x14ac:dyDescent="0.2">
      <c r="A566" s="4">
        <v>1487</v>
      </c>
      <c r="B566" s="3">
        <v>1</v>
      </c>
      <c r="C566" s="3" t="s">
        <v>1056</v>
      </c>
      <c r="D566" s="3" t="s">
        <v>96</v>
      </c>
      <c r="E566" s="3" t="s">
        <v>21</v>
      </c>
      <c r="F566" s="3" t="s">
        <v>109</v>
      </c>
      <c r="H566" s="3" t="s">
        <v>61</v>
      </c>
      <c r="I566" s="3" t="s">
        <v>21</v>
      </c>
      <c r="J566" s="3" t="s">
        <v>1048</v>
      </c>
      <c r="K566" s="3" t="s">
        <v>1049</v>
      </c>
      <c r="L566" s="3" t="s">
        <v>26</v>
      </c>
      <c r="M566" s="3" t="s">
        <v>27</v>
      </c>
      <c r="N566" s="3" t="s">
        <v>28</v>
      </c>
      <c r="O566" s="3" t="s">
        <v>98</v>
      </c>
      <c r="S566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adm.UV_TARIF=5 THEN 'LIEGEKLASSE_2_3_TARIF_5'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7" spans="1:19" x14ac:dyDescent="0.2">
      <c r="A567" s="4">
        <v>1487</v>
      </c>
      <c r="B567" s="3">
        <v>1</v>
      </c>
      <c r="C567" s="3" t="s">
        <v>1056</v>
      </c>
      <c r="D567" s="3" t="s">
        <v>96</v>
      </c>
      <c r="E567" s="3" t="s">
        <v>21</v>
      </c>
      <c r="F567" s="3" t="s">
        <v>109</v>
      </c>
      <c r="H567" s="3" t="s">
        <v>61</v>
      </c>
      <c r="I567" s="3" t="s">
        <v>21</v>
      </c>
      <c r="J567" s="3" t="s">
        <v>1050</v>
      </c>
      <c r="K567" s="3" t="s">
        <v>1051</v>
      </c>
      <c r="L567" s="3" t="s">
        <v>26</v>
      </c>
      <c r="M567" s="3" t="s">
        <v>27</v>
      </c>
      <c r="N567" s="3" t="s">
        <v>28</v>
      </c>
      <c r="O567" s="3" t="s">
        <v>98</v>
      </c>
      <c r="S567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adm.UV_TARIF=3 THEN 'LIEGEKLASSE_1_TARIF_3'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8" spans="1:19" x14ac:dyDescent="0.2">
      <c r="A568" s="4">
        <v>1487</v>
      </c>
      <c r="B568" s="3">
        <v>1</v>
      </c>
      <c r="C568" s="3" t="s">
        <v>1056</v>
      </c>
      <c r="D568" s="3" t="s">
        <v>96</v>
      </c>
      <c r="E568" s="3" t="s">
        <v>21</v>
      </c>
      <c r="F568" s="3" t="s">
        <v>109</v>
      </c>
      <c r="H568" s="3" t="s">
        <v>61</v>
      </c>
      <c r="I568" s="3" t="s">
        <v>21</v>
      </c>
      <c r="J568" s="3" t="s">
        <v>1052</v>
      </c>
      <c r="K568" s="3" t="s">
        <v>1053</v>
      </c>
      <c r="L568" s="3" t="s">
        <v>26</v>
      </c>
      <c r="M568" s="3" t="s">
        <v>27</v>
      </c>
      <c r="N568" s="3" t="s">
        <v>28</v>
      </c>
      <c r="O568" s="3" t="s">
        <v>98</v>
      </c>
      <c r="S568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adm.UV_TARIF=3 THEN 'LIEGEKLASSE_2_3_TARIF_3'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9" spans="1:19" x14ac:dyDescent="0.2">
      <c r="A569" s="4">
        <v>1487</v>
      </c>
      <c r="B569" s="3">
        <v>2</v>
      </c>
      <c r="C569" s="3" t="s">
        <v>1057</v>
      </c>
      <c r="D569" s="3" t="s">
        <v>1058</v>
      </c>
      <c r="E569" s="3" t="s">
        <v>21</v>
      </c>
      <c r="F569" s="3" t="s">
        <v>39</v>
      </c>
      <c r="G569" s="3" t="s">
        <v>40</v>
      </c>
      <c r="I569" s="3" t="s">
        <v>41</v>
      </c>
      <c r="M569" s="3" t="s">
        <v>1059</v>
      </c>
      <c r="N569" s="3" t="s">
        <v>43</v>
      </c>
      <c r="O569" s="3" t="s">
        <v>1060</v>
      </c>
      <c r="S569" s="3" t="str">
        <f t="shared" si="8"/>
        <v>WITH ZDATA AS
(SELECT NVL(kfc.VALUE,0)-NVL(kfc2.VALUE,0) AS Value, 
'123' AS BusinessObjectKey, 
kfc.CHARACTERISTIC AS Characteristic
FROM SUM_ERLOES_1487_VOR_ABZUG kfc
JOIN SUM_ERLOES_1487_ABZUG kfc2 ON kfc.BO_KEY = kfc2.BO_KEY AND kfc.CHARACTERISTIC = kfc2.CHARACTERISTIC
) 
SELECT 'SUM_ERLOES_1487' AS KeyFigureName,
'123456' AS ProcessingRunId, 
'12345' AS WaveId, 
Characteristic, BusinessObjectKey, 
Value AS Value 
FROM ZDATA 
ORDER BY BusinessObjectKey;</v>
      </c>
    </row>
    <row r="570" spans="1:19" x14ac:dyDescent="0.2">
      <c r="A570" s="4">
        <v>1487</v>
      </c>
      <c r="B570" s="3">
        <v>2</v>
      </c>
      <c r="C570" s="3" t="s">
        <v>1061</v>
      </c>
      <c r="D570" s="3" t="s">
        <v>1062</v>
      </c>
      <c r="E570" s="3" t="s">
        <v>21</v>
      </c>
      <c r="F570" s="3" t="s">
        <v>39</v>
      </c>
      <c r="G570" s="3" t="s">
        <v>40</v>
      </c>
      <c r="I570" s="3" t="s">
        <v>41</v>
      </c>
      <c r="M570" s="3" t="s">
        <v>1063</v>
      </c>
      <c r="N570" s="3" t="s">
        <v>43</v>
      </c>
      <c r="O570" s="3" t="s">
        <v>1060</v>
      </c>
      <c r="S570" s="3" t="str">
        <f t="shared" si="8"/>
        <v>WITH ZDATA AS
(SELECT NVL(kfc.VALUE,0)-NVL(kfc2.VALUE,0) AS Value, 
'123' AS BusinessObjectKey, 
kfc.CHARACTERISTIC AS Characteristic
FROM SUM_KOSTEN_1487_VOR_ABZUG kfc
JOIN SUM_ERLOES_1487_ABZUG kfc2 ON kfc.BO_KEY = kfc2.BO_KEY AND kfc.CHARACTERISTIC = kfc2.CHARACTERISTIC
) 
SELECT 'SUM_KOSTEN_1487' AS KeyFigureName,
'123456' AS ProcessingRunId, 
'12345' AS WaveId, 
Characteristic, BusinessObjectKey, 
Value AS Value 
FROM ZDATA 
ORDER BY BusinessObjectKey;</v>
      </c>
    </row>
    <row r="571" spans="1:19" x14ac:dyDescent="0.2">
      <c r="A571" s="4">
        <v>1487</v>
      </c>
      <c r="B571" s="3">
        <v>3</v>
      </c>
      <c r="C571" s="3" t="s">
        <v>1064</v>
      </c>
      <c r="D571" s="3" t="s">
        <v>1065</v>
      </c>
      <c r="E571" s="3" t="s">
        <v>21</v>
      </c>
      <c r="F571" s="3" t="s">
        <v>101</v>
      </c>
      <c r="G571" s="3" t="s">
        <v>40</v>
      </c>
      <c r="I571" s="3" t="s">
        <v>41</v>
      </c>
      <c r="M571" s="3" t="s">
        <v>1066</v>
      </c>
      <c r="N571" s="3" t="s">
        <v>43</v>
      </c>
      <c r="O571" s="3" t="s">
        <v>1067</v>
      </c>
      <c r="P571" s="3" t="s">
        <v>55</v>
      </c>
      <c r="S571" s="3" t="str">
        <f t="shared" si="8"/>
        <v>WITH ZDATA AS
(SELECT TRUNC(NVL(kfc.VALUE,0) / NVL(kfc2.VALUE,0),10) AS Value, 
'123' AS BusinessObjectKey, 
kfc.CHARACTERISTIC AS Characteristic
FROM SUM_ERLOES_1487 kfc
JOIN SUM_KOSTEN_1487 kfc2 ON kfc.BO_KEY = kfc2.BO_KEY AND kfc.CHARACTERISTIC = kfc2.CHARACTERISTIC
WHERE kfc2.VALUE &lt;&gt; 0 AND kfc2.VALUE IS NOT NULL
) 
SELECT 'DECKUNGSGRAD_1487' AS KeyFigureName,
'123456' AS ProcessingRunId, 
'12345' AS WaveId, 
Characteristic, BusinessObjectKey, 
Value AS Value 
FROM ZDATA 
ORDER BY BusinessObjectKey;</v>
      </c>
    </row>
    <row r="572" spans="1:19" x14ac:dyDescent="0.2">
      <c r="A572" s="4">
        <v>1487</v>
      </c>
      <c r="B572" s="3">
        <v>4</v>
      </c>
      <c r="C572" s="3" t="s">
        <v>1068</v>
      </c>
      <c r="D572" s="3" t="s">
        <v>1069</v>
      </c>
      <c r="E572" s="3" t="s">
        <v>21</v>
      </c>
      <c r="F572" s="3" t="s">
        <v>39</v>
      </c>
      <c r="G572" s="3" t="s">
        <v>40</v>
      </c>
      <c r="I572" s="3" t="s">
        <v>41</v>
      </c>
      <c r="M572" s="3" t="s">
        <v>1070</v>
      </c>
      <c r="N572" s="3" t="s">
        <v>43</v>
      </c>
      <c r="O572" s="3" t="s">
        <v>1071</v>
      </c>
      <c r="S572" s="3" t="str">
        <f t="shared" si="8"/>
        <v>WITH ZDATA AS
(SELECT NVL(kfc.VALUE,0)-NVL(kfc2.VALUE,0) AS Value, 
'123' AS BusinessObjectKey, 
kfc.CHARACTERISTIC AS Characteristic
FROM DECKUNGSGRAD_1487 kfc
JOIN PDP_DECKUNGSGRAD_1487 kfc2 ON kfc.BO_KEY = kfc2.BO_KEY AND kfc.CHARACTERISTIC = kfc2.CHARACTERISTIC
) 
SELECT 'VGL_DECKUNGSGRAD_1487' AS KeyFigureName,
'123456' AS ProcessingRunId, 
'12345' AS WaveId, 
Characteristic, BusinessObjectKey, 
Value AS Value 
FROM ZDATA 
ORDER BY BusinessObjectKey;</v>
      </c>
    </row>
    <row r="573" spans="1:19" x14ac:dyDescent="0.2">
      <c r="A573" s="4">
        <v>1488</v>
      </c>
      <c r="B573" s="3">
        <v>1</v>
      </c>
      <c r="C573" s="3" t="s">
        <v>1072</v>
      </c>
      <c r="D573" s="3" t="s">
        <v>898</v>
      </c>
      <c r="E573" s="3" t="s">
        <v>21</v>
      </c>
      <c r="F573" s="3" t="s">
        <v>1073</v>
      </c>
      <c r="H573" s="3" t="s">
        <v>61</v>
      </c>
      <c r="I573" s="3" t="s">
        <v>21</v>
      </c>
      <c r="J573" s="3" t="s">
        <v>900</v>
      </c>
      <c r="K573" s="3" t="s">
        <v>901</v>
      </c>
      <c r="L573" s="3" t="s">
        <v>26</v>
      </c>
      <c r="M573" s="3" t="s">
        <v>27</v>
      </c>
      <c r="N573" s="3" t="s">
        <v>28</v>
      </c>
      <c r="O573" s="3" t="s">
        <v>902</v>
      </c>
      <c r="P573" s="3" t="s">
        <v>903</v>
      </c>
      <c r="S573" s="3" t="str">
        <f t="shared" si="8"/>
        <v>WITH ZDATA AS
(SELECT NVL(pdp.UV_KTR_44_VKL,0) AS Value, 
'123' AS BusinessObjectKey, 
CASE WHEN pdp.UV_KTR_TYP=1  THEN 'STAT' ELSE 'OTHER' 
END AS Characteristic
FROM ADMINISTRATIVES adm
JOIN PDP_KOSTENTRAEGERFALL pdp ON adm.UV_FALL_ID=pdp.UV_FALL_ID
WHERE adm.UV_ABC_FALL IN ('B','C')
) 
SELECT 'SUM_1488_KTF_ABZUG' AS KeyFigureName,
'123456' AS ProcessingRunId, 
'12345' AS WaveId, 
Characteristic, BusinessObjectKey, 
SUM(Value) AS Value 
FROM ZDATA 
GROUP BY Characteristic, BusinessObjectKey
ORDER BY BusinessObjectKey;</v>
      </c>
    </row>
    <row r="574" spans="1:19" x14ac:dyDescent="0.2">
      <c r="A574" s="4">
        <v>1488</v>
      </c>
      <c r="B574" s="3">
        <v>1</v>
      </c>
      <c r="C574" s="3" t="s">
        <v>1074</v>
      </c>
      <c r="D574" s="3" t="s">
        <v>59</v>
      </c>
      <c r="E574" s="3" t="s">
        <v>21</v>
      </c>
      <c r="F574" s="3" t="s">
        <v>74</v>
      </c>
      <c r="H574" s="3" t="s">
        <v>61</v>
      </c>
      <c r="I574" s="3" t="s">
        <v>21</v>
      </c>
      <c r="J574" s="3" t="s">
        <v>900</v>
      </c>
      <c r="K574" s="3" t="s">
        <v>589</v>
      </c>
      <c r="L574" s="3" t="s">
        <v>26</v>
      </c>
      <c r="M574" s="3" t="s">
        <v>64</v>
      </c>
      <c r="N574" s="3" t="s">
        <v>28</v>
      </c>
      <c r="S574" s="3" t="str">
        <f t="shared" si="8"/>
        <v>WITH ZDATA AS
(SELECT NVL(ktf.UV_KTR_44_VKL,0) AS Value, 
'123' AS BusinessObjectKey, 
CASE WHEN ktf.UV_KTR_TYP=1 THEN 'STAT'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5" spans="1:19" x14ac:dyDescent="0.2">
      <c r="A575" s="4">
        <v>1488</v>
      </c>
      <c r="B575" s="3">
        <v>1</v>
      </c>
      <c r="C575" s="3" t="s">
        <v>1074</v>
      </c>
      <c r="D575" s="3" t="s">
        <v>59</v>
      </c>
      <c r="E575" s="3" t="s">
        <v>21</v>
      </c>
      <c r="F575" s="3" t="s">
        <v>74</v>
      </c>
      <c r="H575" s="3" t="s">
        <v>61</v>
      </c>
      <c r="I575" s="3" t="s">
        <v>21</v>
      </c>
      <c r="J575" s="3" t="s">
        <v>906</v>
      </c>
      <c r="K575" s="3" t="s">
        <v>907</v>
      </c>
      <c r="L575" s="3" t="s">
        <v>26</v>
      </c>
      <c r="M575" s="3" t="s">
        <v>64</v>
      </c>
      <c r="N575" s="3" t="s">
        <v>28</v>
      </c>
      <c r="S575" s="3" t="str">
        <f t="shared" si="8"/>
        <v>WITH ZDATA AS
(SELECT NVL(ktf.UV_KTR_44_VKL,0) AS Value, 
'123' AS BusinessObjectKey, 
CASE WHEN ktf.UV_KTR_TYP BETWEEN 200 AND 499 THEN 'AMBU'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6" spans="1:19" x14ac:dyDescent="0.2">
      <c r="A576" s="4">
        <v>1488</v>
      </c>
      <c r="B576" s="3">
        <v>1</v>
      </c>
      <c r="C576" s="3" t="s">
        <v>1074</v>
      </c>
      <c r="D576" s="3" t="s">
        <v>59</v>
      </c>
      <c r="E576" s="3" t="s">
        <v>21</v>
      </c>
      <c r="F576" s="3" t="s">
        <v>74</v>
      </c>
      <c r="H576" s="3" t="s">
        <v>61</v>
      </c>
      <c r="I576" s="3" t="s">
        <v>21</v>
      </c>
      <c r="J576" s="3" t="s">
        <v>908</v>
      </c>
      <c r="K576" s="3" t="s">
        <v>591</v>
      </c>
      <c r="L576" s="3" t="s">
        <v>26</v>
      </c>
      <c r="M576" s="3" t="s">
        <v>64</v>
      </c>
      <c r="N576" s="3" t="s">
        <v>28</v>
      </c>
      <c r="S576" s="3" t="str">
        <f t="shared" si="8"/>
        <v>WITH ZDATA AS
(SELECT NVL(ktf.UV_KTR_44_VKL,0) AS Value, 
'123' AS BusinessObjectKey, 
CASE WHEN ktf.UV_KTR_TYP=10 THEN 'NEBENBETRIEBE'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7" spans="1:19" x14ac:dyDescent="0.2">
      <c r="A577" s="4">
        <v>1488</v>
      </c>
      <c r="B577" s="3">
        <v>1</v>
      </c>
      <c r="C577" s="3" t="s">
        <v>1074</v>
      </c>
      <c r="D577" s="3" t="s">
        <v>59</v>
      </c>
      <c r="E577" s="3" t="s">
        <v>21</v>
      </c>
      <c r="F577" s="3" t="s">
        <v>74</v>
      </c>
      <c r="H577" s="3" t="s">
        <v>61</v>
      </c>
      <c r="I577" s="3" t="s">
        <v>21</v>
      </c>
      <c r="J577" s="3" t="s">
        <v>909</v>
      </c>
      <c r="K577" s="3" t="s">
        <v>910</v>
      </c>
      <c r="L577" s="3" t="s">
        <v>26</v>
      </c>
      <c r="M577" s="3" t="s">
        <v>64</v>
      </c>
      <c r="N577" s="3" t="s">
        <v>28</v>
      </c>
      <c r="S577" s="3" t="str">
        <f t="shared" si="8"/>
        <v>WITH ZDATA AS
(SELECT NVL(ktf.UV_KTR_44_VKL,0) AS Value, 
'123' AS BusinessObjectKey, 
CASE WHEN ktf.UV_KTR_TYP BETWEEN 500 AND 799 THEN 'GWL'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8" spans="1:19" x14ac:dyDescent="0.2">
      <c r="A578" s="4">
        <v>1488</v>
      </c>
      <c r="B578" s="3">
        <v>1</v>
      </c>
      <c r="C578" s="3" t="s">
        <v>1074</v>
      </c>
      <c r="D578" s="3" t="s">
        <v>59</v>
      </c>
      <c r="E578" s="3" t="s">
        <v>21</v>
      </c>
      <c r="F578" s="3" t="s">
        <v>74</v>
      </c>
      <c r="H578" s="3" t="s">
        <v>61</v>
      </c>
      <c r="I578" s="3" t="s">
        <v>21</v>
      </c>
      <c r="J578" s="3" t="s">
        <v>911</v>
      </c>
      <c r="K578" s="3" t="s">
        <v>609</v>
      </c>
      <c r="L578" s="3" t="s">
        <v>26</v>
      </c>
      <c r="M578" s="3" t="s">
        <v>64</v>
      </c>
      <c r="N578" s="3" t="s">
        <v>28</v>
      </c>
      <c r="S578" s="3" t="str">
        <f t="shared" si="8"/>
        <v>WITH ZDATA AS
(SELECT NVL(ktf.UV_KTR_44_VKL,0) AS Value, 
'123' AS BusinessObjectKey, 
CASE WHEN ktf.UV_KTR_TYP=801 THEN 'UEBRIGE'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9" spans="1:19" x14ac:dyDescent="0.2">
      <c r="A579" s="4">
        <v>1488</v>
      </c>
      <c r="B579" s="3">
        <v>1</v>
      </c>
      <c r="C579" s="3" t="s">
        <v>1075</v>
      </c>
      <c r="D579" s="3" t="s">
        <v>66</v>
      </c>
      <c r="E579" s="3" t="s">
        <v>41</v>
      </c>
      <c r="F579" s="3" t="s">
        <v>76</v>
      </c>
      <c r="H579" s="3" t="s">
        <v>61</v>
      </c>
      <c r="I579" s="3" t="s">
        <v>21</v>
      </c>
      <c r="J579" s="3" t="s">
        <v>900</v>
      </c>
      <c r="K579" s="3" t="s">
        <v>914</v>
      </c>
      <c r="L579" s="3" t="s">
        <v>26</v>
      </c>
      <c r="M579" s="3" t="s">
        <v>68</v>
      </c>
      <c r="N579" s="3" t="s">
        <v>28</v>
      </c>
      <c r="S579" s="3" t="str">
        <f t="shared" si="8"/>
        <v>WITH ZDATA AS
(SELECT NVL(kts.UV_KTR_44_VKL,0) AS Value, 
'123' AS BusinessObjectKey, 
CASE WHEN kts.UV_KTR_TYP IN (101,102) THEN 'STAT'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0" spans="1:19" x14ac:dyDescent="0.2">
      <c r="A580" s="4">
        <v>1488</v>
      </c>
      <c r="B580" s="3">
        <v>1</v>
      </c>
      <c r="C580" s="3" t="s">
        <v>1075</v>
      </c>
      <c r="D580" s="3" t="s">
        <v>66</v>
      </c>
      <c r="E580" s="3" t="s">
        <v>41</v>
      </c>
      <c r="F580" s="3" t="s">
        <v>76</v>
      </c>
      <c r="H580" s="3" t="s">
        <v>61</v>
      </c>
      <c r="I580" s="3" t="s">
        <v>21</v>
      </c>
      <c r="J580" s="3" t="s">
        <v>906</v>
      </c>
      <c r="K580" s="3" t="s">
        <v>915</v>
      </c>
      <c r="L580" s="3" t="s">
        <v>26</v>
      </c>
      <c r="M580" s="3" t="s">
        <v>68</v>
      </c>
      <c r="N580" s="3" t="s">
        <v>28</v>
      </c>
      <c r="S580" s="3" t="str">
        <f t="shared" ref="S580:S643" si="9">IF(F580="","","WITH ZDATA AS
(SELECT "&amp;F580&amp;" AS Value, 
'123' AS BusinessObjectKey, 
"&amp;IF(I580="False","CASE WHEN "&amp;K580&amp;" THEN '"&amp;J580&amp;"' ELSE '"&amp;L580&amp;"' 
END AS Characteristic",G580)&amp;"
FROM "&amp;M580&amp;"
"&amp;O580&amp;"
"&amp;IF(P580="","", "WHERE "&amp;P580)&amp;"
"&amp;IF(Q580="","", "GROUP BY "&amp;Q580)&amp;"
"&amp;IF(R580="","", "HAVING "&amp;R580)&amp;"
) 
SELECT '"&amp;C580&amp;"' AS KeyFigureName,
'123456' AS ProcessingRunId, 
'12345' AS WaveId, 
Characteristic, BusinessObjectKey, 
"&amp;IF(H580="","Value",H580)&amp;" AS Value 
FROM ZDATA 
"&amp;IF(I580="False","GROUP BY Characteristic, BusinessObjectKey","")&amp;"
ORDER BY BusinessObjectKey;")</f>
        <v>WITH ZDATA AS
(SELECT NVL(kts.UV_KTR_44_VKL,0) AS Value, 
'123' AS BusinessObjectKey, 
CASE WHEN kts.UV_KTR_TYP BETWEEN 200 AND 499 THEN 'AMBU'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1" spans="1:19" x14ac:dyDescent="0.2">
      <c r="A581" s="4">
        <v>1488</v>
      </c>
      <c r="B581" s="3">
        <v>1</v>
      </c>
      <c r="C581" s="3" t="s">
        <v>1075</v>
      </c>
      <c r="D581" s="3" t="s">
        <v>66</v>
      </c>
      <c r="E581" s="3" t="s">
        <v>41</v>
      </c>
      <c r="F581" s="3" t="s">
        <v>76</v>
      </c>
      <c r="H581" s="3" t="s">
        <v>61</v>
      </c>
      <c r="I581" s="3" t="s">
        <v>21</v>
      </c>
      <c r="J581" s="3" t="s">
        <v>908</v>
      </c>
      <c r="K581" s="3" t="s">
        <v>613</v>
      </c>
      <c r="L581" s="3" t="s">
        <v>26</v>
      </c>
      <c r="M581" s="3" t="s">
        <v>68</v>
      </c>
      <c r="N581" s="3" t="s">
        <v>28</v>
      </c>
      <c r="S581" s="3" t="str">
        <f t="shared" si="9"/>
        <v>WITH ZDATA AS
(SELECT NVL(kts.UV_KTR_44_VKL,0) AS Value, 
'123' AS BusinessObjectKey, 
CASE WHEN kts.UV_KTR_TYP=10 THEN 'NEBENBETRIEBE'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2" spans="1:19" x14ac:dyDescent="0.2">
      <c r="A582" s="4">
        <v>1488</v>
      </c>
      <c r="B582" s="3">
        <v>1</v>
      </c>
      <c r="C582" s="3" t="s">
        <v>1075</v>
      </c>
      <c r="D582" s="3" t="s">
        <v>66</v>
      </c>
      <c r="E582" s="3" t="s">
        <v>41</v>
      </c>
      <c r="F582" s="3" t="s">
        <v>76</v>
      </c>
      <c r="H582" s="3" t="s">
        <v>61</v>
      </c>
      <c r="I582" s="3" t="s">
        <v>21</v>
      </c>
      <c r="J582" s="3" t="s">
        <v>909</v>
      </c>
      <c r="K582" s="3" t="s">
        <v>916</v>
      </c>
      <c r="L582" s="3" t="s">
        <v>26</v>
      </c>
      <c r="M582" s="3" t="s">
        <v>68</v>
      </c>
      <c r="N582" s="3" t="s">
        <v>28</v>
      </c>
      <c r="S582" s="3" t="str">
        <f t="shared" si="9"/>
        <v>WITH ZDATA AS
(SELECT NVL(kts.UV_KTR_44_VKL,0) AS Value, 
'123' AS BusinessObjectKey, 
CASE WHEN kts.UV_KTR_TYP BETWEEN 500 AND 799 THEN 'GWL'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3" spans="1:19" x14ac:dyDescent="0.2">
      <c r="A583" s="4">
        <v>1488</v>
      </c>
      <c r="B583" s="3">
        <v>1</v>
      </c>
      <c r="C583" s="3" t="s">
        <v>1075</v>
      </c>
      <c r="D583" s="3" t="s">
        <v>66</v>
      </c>
      <c r="E583" s="3" t="s">
        <v>41</v>
      </c>
      <c r="F583" s="3" t="s">
        <v>76</v>
      </c>
      <c r="H583" s="3" t="s">
        <v>61</v>
      </c>
      <c r="I583" s="3" t="s">
        <v>21</v>
      </c>
      <c r="J583" s="3" t="s">
        <v>911</v>
      </c>
      <c r="K583" s="3" t="s">
        <v>622</v>
      </c>
      <c r="L583" s="3" t="s">
        <v>26</v>
      </c>
      <c r="M583" s="3" t="s">
        <v>68</v>
      </c>
      <c r="N583" s="3" t="s">
        <v>28</v>
      </c>
      <c r="S583" s="3" t="str">
        <f t="shared" si="9"/>
        <v>WITH ZDATA AS
(SELECT NVL(kts.UV_KTR_44_VKL,0) AS Value, 
'123' AS BusinessObjectKey, 
CASE WHEN kts.UV_KTR_TYP=801 THEN 'UEBRIGE'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4" spans="1:19" x14ac:dyDescent="0.2">
      <c r="A584" s="4">
        <v>1488</v>
      </c>
      <c r="B584" s="3">
        <v>1</v>
      </c>
      <c r="C584" s="3" t="s">
        <v>1076</v>
      </c>
      <c r="D584" s="3" t="s">
        <v>70</v>
      </c>
      <c r="E584" s="3" t="s">
        <v>41</v>
      </c>
      <c r="F584" s="3" t="s">
        <v>78</v>
      </c>
      <c r="H584" s="3" t="s">
        <v>61</v>
      </c>
      <c r="I584" s="3" t="s">
        <v>21</v>
      </c>
      <c r="J584" s="3" t="s">
        <v>900</v>
      </c>
      <c r="K584" s="3" t="s">
        <v>919</v>
      </c>
      <c r="L584" s="3" t="s">
        <v>26</v>
      </c>
      <c r="M584" s="3" t="s">
        <v>72</v>
      </c>
      <c r="N584" s="3" t="s">
        <v>28</v>
      </c>
      <c r="S584" s="3" t="str">
        <f t="shared" si="9"/>
        <v>WITH ZDATA AS
(SELECT NVL(ktu.UV_KTR_44_VKL,0) AS Value, 
'123' AS BusinessObjectKey, 
CASE WHEN ktu.UV_KTR_TYP IN (101,102) THEN 'STAT'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5" spans="1:19" x14ac:dyDescent="0.2">
      <c r="A585" s="4">
        <v>1488</v>
      </c>
      <c r="B585" s="3">
        <v>1</v>
      </c>
      <c r="C585" s="3" t="s">
        <v>1076</v>
      </c>
      <c r="D585" s="3" t="s">
        <v>70</v>
      </c>
      <c r="E585" s="3" t="s">
        <v>41</v>
      </c>
      <c r="F585" s="3" t="s">
        <v>78</v>
      </c>
      <c r="H585" s="3" t="s">
        <v>61</v>
      </c>
      <c r="I585" s="3" t="s">
        <v>21</v>
      </c>
      <c r="J585" s="3" t="s">
        <v>906</v>
      </c>
      <c r="K585" s="3" t="s">
        <v>920</v>
      </c>
      <c r="L585" s="3" t="s">
        <v>26</v>
      </c>
      <c r="M585" s="3" t="s">
        <v>72</v>
      </c>
      <c r="N585" s="3" t="s">
        <v>28</v>
      </c>
      <c r="S585" s="3" t="str">
        <f t="shared" si="9"/>
        <v>WITH ZDATA AS
(SELECT NVL(ktu.UV_KTR_44_VKL,0) AS Value, 
'123' AS BusinessObjectKey, 
CASE WHEN ktu.UV_KTR_TYP BETWEEN 200 AND 499 THEN 'AMBU'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6" spans="1:19" x14ac:dyDescent="0.2">
      <c r="A586" s="4">
        <v>1488</v>
      </c>
      <c r="B586" s="3">
        <v>1</v>
      </c>
      <c r="C586" s="3" t="s">
        <v>1076</v>
      </c>
      <c r="D586" s="3" t="s">
        <v>70</v>
      </c>
      <c r="E586" s="3" t="s">
        <v>41</v>
      </c>
      <c r="F586" s="3" t="s">
        <v>78</v>
      </c>
      <c r="H586" s="3" t="s">
        <v>61</v>
      </c>
      <c r="I586" s="3" t="s">
        <v>21</v>
      </c>
      <c r="J586" s="3" t="s">
        <v>908</v>
      </c>
      <c r="K586" s="3" t="s">
        <v>626</v>
      </c>
      <c r="L586" s="3" t="s">
        <v>26</v>
      </c>
      <c r="M586" s="3" t="s">
        <v>72</v>
      </c>
      <c r="N586" s="3" t="s">
        <v>28</v>
      </c>
      <c r="S586" s="3" t="str">
        <f t="shared" si="9"/>
        <v>WITH ZDATA AS
(SELECT NVL(ktu.UV_KTR_44_VKL,0) AS Value, 
'123' AS BusinessObjectKey, 
CASE WHEN ktu.UV_KTR_TYP=10 THEN 'NEBENBETRIEBE'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7" spans="1:19" x14ac:dyDescent="0.2">
      <c r="A587" s="4">
        <v>1488</v>
      </c>
      <c r="B587" s="3">
        <v>1</v>
      </c>
      <c r="C587" s="3" t="s">
        <v>1076</v>
      </c>
      <c r="D587" s="3" t="s">
        <v>70</v>
      </c>
      <c r="E587" s="3" t="s">
        <v>41</v>
      </c>
      <c r="F587" s="3" t="s">
        <v>78</v>
      </c>
      <c r="H587" s="3" t="s">
        <v>61</v>
      </c>
      <c r="I587" s="3" t="s">
        <v>21</v>
      </c>
      <c r="J587" s="3" t="s">
        <v>909</v>
      </c>
      <c r="K587" s="3" t="s">
        <v>921</v>
      </c>
      <c r="L587" s="3" t="s">
        <v>26</v>
      </c>
      <c r="M587" s="3" t="s">
        <v>72</v>
      </c>
      <c r="N587" s="3" t="s">
        <v>28</v>
      </c>
      <c r="S587" s="3" t="str">
        <f t="shared" si="9"/>
        <v>WITH ZDATA AS
(SELECT NVL(ktu.UV_KTR_44_VKL,0) AS Value, 
'123' AS BusinessObjectKey, 
CASE WHEN ktu.UV_KTR_TYP BETWEEN 500 AND 799 THEN 'GWL'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8" spans="1:19" x14ac:dyDescent="0.2">
      <c r="A588" s="4">
        <v>1488</v>
      </c>
      <c r="B588" s="3">
        <v>1</v>
      </c>
      <c r="C588" s="3" t="s">
        <v>1076</v>
      </c>
      <c r="D588" s="3" t="s">
        <v>70</v>
      </c>
      <c r="E588" s="3" t="s">
        <v>41</v>
      </c>
      <c r="F588" s="3" t="s">
        <v>78</v>
      </c>
      <c r="H588" s="3" t="s">
        <v>61</v>
      </c>
      <c r="I588" s="3" t="s">
        <v>21</v>
      </c>
      <c r="J588" s="3" t="s">
        <v>911</v>
      </c>
      <c r="K588" s="3" t="s">
        <v>635</v>
      </c>
      <c r="L588" s="3" t="s">
        <v>26</v>
      </c>
      <c r="M588" s="3" t="s">
        <v>72</v>
      </c>
      <c r="N588" s="3" t="s">
        <v>28</v>
      </c>
      <c r="S588" s="3" t="str">
        <f t="shared" si="9"/>
        <v>WITH ZDATA AS
(SELECT NVL(ktu.UV_KTR_44_VKL,0) AS Value, 
'123' AS BusinessObjectKey, 
CASE WHEN ktu.UV_KTR_TYP=801 THEN 'UEBRIGE'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9" spans="1:19" x14ac:dyDescent="0.2">
      <c r="A589" s="4">
        <v>1488</v>
      </c>
      <c r="B589" s="3">
        <v>2</v>
      </c>
      <c r="C589" s="3" t="s">
        <v>1077</v>
      </c>
      <c r="D589" s="3" t="s">
        <v>1078</v>
      </c>
      <c r="E589" s="3" t="s">
        <v>21</v>
      </c>
      <c r="F589" s="3" t="s">
        <v>39</v>
      </c>
      <c r="G589" s="3" t="s">
        <v>40</v>
      </c>
      <c r="I589" s="3" t="s">
        <v>41</v>
      </c>
      <c r="M589" s="3" t="s">
        <v>1079</v>
      </c>
      <c r="N589" s="3" t="s">
        <v>43</v>
      </c>
      <c r="O589" s="3" t="s">
        <v>1080</v>
      </c>
      <c r="S589" s="3" t="str">
        <f t="shared" si="9"/>
        <v>WITH ZDATA AS
(SELECT NVL(kfc.VALUE,0)-NVL(kfc2.VALUE,0) AS Value, 
'123' AS BusinessObjectKey, 
kfc.CHARACTERISTIC AS Characteristic
FROM SUM_1488_KTF_VOR_ABZUG kfc
LEFT JOIN SUM_1488_KTF_ABZUG kfc2 ON kfc.BO_KEY = kfc2.BO_KEY AND kfc.CHARACTERISTIC = kfc2.CHARACTERISTIC
) 
SELECT 'SUM_1488_KTF' AS KeyFigureName,
'123456' AS ProcessingRunId, 
'12345' AS WaveId, 
Characteristic, BusinessObjectKey, 
Value AS Value 
FROM ZDATA 
ORDER BY BusinessObjectKey;</v>
      </c>
    </row>
    <row r="590" spans="1:19" x14ac:dyDescent="0.2">
      <c r="A590" s="4">
        <v>1488</v>
      </c>
      <c r="B590" s="3">
        <v>3</v>
      </c>
      <c r="C590" s="3" t="s">
        <v>1081</v>
      </c>
      <c r="D590" s="3" t="s">
        <v>1082</v>
      </c>
      <c r="E590" s="3" t="s">
        <v>21</v>
      </c>
      <c r="F590" s="3" t="s">
        <v>81</v>
      </c>
      <c r="G590" s="3" t="s">
        <v>40</v>
      </c>
      <c r="I590" s="3" t="s">
        <v>41</v>
      </c>
      <c r="M590" s="3" t="s">
        <v>1083</v>
      </c>
      <c r="N590" s="3" t="s">
        <v>43</v>
      </c>
      <c r="O590" s="3" t="s">
        <v>1084</v>
      </c>
      <c r="S590" s="3" t="str">
        <f t="shared" si="9"/>
        <v>WITH ZDATA AS
(SELECT NVL(kfc.VALUE,0)+NVL(kfc2.VALUE,0)+NVL(kfc3.VALUE,0) AS Value, 
'123' AS BusinessObjectKey, 
kfc.CHARACTERISTIC AS Characteristic
FROM SUM_1488_KTF kfc
JOIN SUM_1488_KTS kfc2 ON kfc.BO_KEY = kfc2.BO_KEY AND kfc.CHARACTERISTIC = kfc2.CHARACTERISTIC JOIN SUM_1488_KTU kfc3 ON kfc.BO_KEY = kfc3.BO_KEY AND kfc.CHARACTERISTIC = kfc3.CHARACTERISTIC
) 
SELECT 'SUM_1488' AS KeyFigureName,
'123456' AS ProcessingRunId, 
'12345' AS WaveId, 
Characteristic, BusinessObjectKey, 
Value AS Value 
FROM ZDATA 
ORDER BY BusinessObjectKey;</v>
      </c>
    </row>
    <row r="591" spans="1:19" x14ac:dyDescent="0.2">
      <c r="A591" s="4">
        <v>1488</v>
      </c>
      <c r="B591" s="3">
        <v>4</v>
      </c>
      <c r="C591" s="3" t="s">
        <v>1085</v>
      </c>
      <c r="D591" s="3" t="s">
        <v>1086</v>
      </c>
      <c r="E591" s="3" t="s">
        <v>21</v>
      </c>
      <c r="F591" s="3" t="s">
        <v>932</v>
      </c>
      <c r="G591" s="3" t="s">
        <v>40</v>
      </c>
      <c r="I591" s="3" t="s">
        <v>41</v>
      </c>
      <c r="M591" s="3" t="s">
        <v>1087</v>
      </c>
      <c r="N591" s="3" t="s">
        <v>43</v>
      </c>
      <c r="O591" s="3" t="s">
        <v>934</v>
      </c>
      <c r="P591" s="3" t="s">
        <v>935</v>
      </c>
      <c r="S591" s="3" t="str">
        <f t="shared" si="9"/>
        <v>WITH ZDATA AS
(SELECT TRUNC(NVL(kfc.VALUE,0) / NVL(kfc_total.VALUE,0),10) AS Value, 
'123' AS BusinessObjectKey, 
kfc.CHARACTERISTIC AS Characteristic
FROM SUM_1488 kfc
JOIN SUM_1465 kfc_total ON kfc_total.CHARACTERISTIC = 'TOTAL'
WHERE kfc_total.VALUE &lt;&gt; 0 AND kfc_total.VALUE IS NOT NULL
) 
SELECT 'ANTEIL_1488' AS KeyFigureName,
'123456' AS ProcessingRunId, 
'12345' AS WaveId, 
Characteristic, BusinessObjectKey, 
Value AS Value 
FROM ZDATA 
ORDER BY BusinessObjectKey;</v>
      </c>
    </row>
    <row r="592" spans="1:19" x14ac:dyDescent="0.2">
      <c r="A592" s="4">
        <v>1488</v>
      </c>
      <c r="B592" s="3">
        <v>5</v>
      </c>
      <c r="C592" s="3" t="s">
        <v>1088</v>
      </c>
      <c r="D592" s="3" t="s">
        <v>1089</v>
      </c>
      <c r="E592" s="3" t="s">
        <v>21</v>
      </c>
      <c r="F592" s="3" t="s">
        <v>39</v>
      </c>
      <c r="G592" s="3" t="s">
        <v>40</v>
      </c>
      <c r="I592" s="3" t="s">
        <v>41</v>
      </c>
      <c r="M592" s="3" t="s">
        <v>1090</v>
      </c>
      <c r="N592" s="3" t="s">
        <v>43</v>
      </c>
      <c r="O592" s="3" t="s">
        <v>1091</v>
      </c>
      <c r="S592" s="3" t="str">
        <f t="shared" si="9"/>
        <v>WITH ZDATA AS
(SELECT NVL(kfc.VALUE,0)-NVL(kfc2.VALUE,0) AS Value, 
'123' AS BusinessObjectKey, 
kfc.CHARACTERISTIC AS Characteristic
FROM ANTEIL_1488 kfc
JOIN PDP_ANTEIL_1488 kfc2 ON kfc.BO_KEY = kfc2.BO_KEY AND kfc.CHARACTERISTIC = kfc2.CHARACTERISTIC
) 
SELECT 'VGL_ANTEIL_1488' AS KeyFigureName,
'123456' AS ProcessingRunId, 
'12345' AS WaveId, 
Characteristic, BusinessObjectKey, 
Value AS Value 
FROM ZDATA 
ORDER BY BusinessObjectKey;</v>
      </c>
    </row>
    <row r="593" spans="1:19" x14ac:dyDescent="0.2">
      <c r="A593" s="4">
        <v>1493</v>
      </c>
      <c r="B593" s="3">
        <v>1</v>
      </c>
      <c r="C593" s="3" t="s">
        <v>1092</v>
      </c>
      <c r="D593" s="3" t="s">
        <v>898</v>
      </c>
      <c r="E593" s="3" t="s">
        <v>21</v>
      </c>
      <c r="F593" s="3" t="s">
        <v>1073</v>
      </c>
      <c r="H593" s="3" t="s">
        <v>61</v>
      </c>
      <c r="I593" s="3" t="s">
        <v>21</v>
      </c>
      <c r="J593" s="3" t="s">
        <v>91</v>
      </c>
      <c r="K593" s="3" t="s">
        <v>25</v>
      </c>
      <c r="L593" s="3" t="s">
        <v>26</v>
      </c>
      <c r="M593" s="3" t="s">
        <v>27</v>
      </c>
      <c r="N593" s="3" t="s">
        <v>28</v>
      </c>
      <c r="O593" s="3" t="s">
        <v>902</v>
      </c>
      <c r="P593" s="3" t="s">
        <v>941</v>
      </c>
      <c r="S593" s="3" t="str">
        <f t="shared" si="9"/>
        <v>WITH ZDATA AS
(SELECT NVL(pdp.UV_KTR_44_VKL,0)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4" spans="1:19" x14ac:dyDescent="0.2">
      <c r="A594" s="4">
        <v>1493</v>
      </c>
      <c r="B594" s="3">
        <v>1</v>
      </c>
      <c r="C594" s="3" t="s">
        <v>1092</v>
      </c>
      <c r="D594" s="3" t="s">
        <v>898</v>
      </c>
      <c r="E594" s="3" t="s">
        <v>21</v>
      </c>
      <c r="F594" s="3" t="s">
        <v>1073</v>
      </c>
      <c r="H594" s="3" t="s">
        <v>61</v>
      </c>
      <c r="I594" s="3" t="s">
        <v>21</v>
      </c>
      <c r="J594" s="3" t="s">
        <v>94</v>
      </c>
      <c r="K594" s="3" t="s">
        <v>35</v>
      </c>
      <c r="L594" s="3" t="s">
        <v>26</v>
      </c>
      <c r="M594" s="3" t="s">
        <v>27</v>
      </c>
      <c r="N594" s="3" t="s">
        <v>28</v>
      </c>
      <c r="O594" s="3" t="s">
        <v>902</v>
      </c>
      <c r="P594" s="3" t="s">
        <v>941</v>
      </c>
      <c r="S594" s="3" t="str">
        <f t="shared" si="9"/>
        <v>WITH ZDATA AS
(SELECT NVL(pdp.UV_KTR_44_VKL,0)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5" spans="1:19" x14ac:dyDescent="0.2">
      <c r="A595" s="4">
        <v>1493</v>
      </c>
      <c r="B595" s="3">
        <v>1</v>
      </c>
      <c r="C595" s="3" t="s">
        <v>1092</v>
      </c>
      <c r="D595" s="3" t="s">
        <v>898</v>
      </c>
      <c r="E595" s="3" t="s">
        <v>21</v>
      </c>
      <c r="F595" s="3" t="s">
        <v>1073</v>
      </c>
      <c r="H595" s="3" t="s">
        <v>61</v>
      </c>
      <c r="I595" s="3" t="s">
        <v>21</v>
      </c>
      <c r="J595" s="3" t="s">
        <v>93</v>
      </c>
      <c r="K595" s="3" t="s">
        <v>32</v>
      </c>
      <c r="L595" s="3" t="s">
        <v>26</v>
      </c>
      <c r="M595" s="3" t="s">
        <v>27</v>
      </c>
      <c r="N595" s="3" t="s">
        <v>28</v>
      </c>
      <c r="O595" s="3" t="s">
        <v>902</v>
      </c>
      <c r="P595" s="3" t="s">
        <v>941</v>
      </c>
      <c r="S595" s="3" t="str">
        <f t="shared" si="9"/>
        <v>WITH ZDATA AS
(SELECT NVL(pdp.UV_KTR_44_VKL,0)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6" spans="1:19" x14ac:dyDescent="0.2">
      <c r="A596" s="4">
        <v>1493</v>
      </c>
      <c r="B596" s="3">
        <v>1</v>
      </c>
      <c r="C596" s="3" t="s">
        <v>1092</v>
      </c>
      <c r="D596" s="3" t="s">
        <v>898</v>
      </c>
      <c r="E596" s="3" t="s">
        <v>21</v>
      </c>
      <c r="F596" s="3" t="s">
        <v>1073</v>
      </c>
      <c r="H596" s="3" t="s">
        <v>61</v>
      </c>
      <c r="I596" s="3" t="s">
        <v>21</v>
      </c>
      <c r="J596" s="3" t="s">
        <v>911</v>
      </c>
      <c r="K596" s="3" t="s">
        <v>942</v>
      </c>
      <c r="L596" s="3" t="s">
        <v>26</v>
      </c>
      <c r="M596" s="3" t="s">
        <v>27</v>
      </c>
      <c r="N596" s="3" t="s">
        <v>28</v>
      </c>
      <c r="O596" s="3" t="s">
        <v>902</v>
      </c>
      <c r="P596" s="3" t="s">
        <v>941</v>
      </c>
      <c r="S596" s="3" t="str">
        <f t="shared" si="9"/>
        <v>WITH ZDATA AS
(SELECT NVL(pdp.UV_KTR_44_VKL,0)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7" spans="1:19" x14ac:dyDescent="0.2">
      <c r="A597" s="4">
        <v>1493</v>
      </c>
      <c r="B597" s="3">
        <v>1</v>
      </c>
      <c r="C597" s="3" t="s">
        <v>1093</v>
      </c>
      <c r="D597" s="3" t="s">
        <v>96</v>
      </c>
      <c r="E597" s="3" t="s">
        <v>21</v>
      </c>
      <c r="F597" s="3" t="s">
        <v>74</v>
      </c>
      <c r="H597" s="3" t="s">
        <v>61</v>
      </c>
      <c r="I597" s="3" t="s">
        <v>21</v>
      </c>
      <c r="J597" s="3" t="s">
        <v>91</v>
      </c>
      <c r="K597" s="3" t="s">
        <v>25</v>
      </c>
      <c r="L597" s="3" t="s">
        <v>26</v>
      </c>
      <c r="M597" s="3" t="s">
        <v>27</v>
      </c>
      <c r="N597" s="3" t="s">
        <v>28</v>
      </c>
      <c r="O597" s="3" t="s">
        <v>98</v>
      </c>
      <c r="P597" s="3" t="s">
        <v>589</v>
      </c>
      <c r="S597" s="3" t="str">
        <f t="shared" si="9"/>
        <v>WITH ZDATA AS
(SELECT NVL(ktf.UV_KTR_44_VKL,0) AS Value, 
'123' AS BusinessObjectKey, 
CASE WHEN adm.UV_TARIF=1 THEN 'TARIF_1'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598" spans="1:19" x14ac:dyDescent="0.2">
      <c r="A598" s="4">
        <v>1493</v>
      </c>
      <c r="B598" s="3">
        <v>1</v>
      </c>
      <c r="C598" s="3" t="s">
        <v>1093</v>
      </c>
      <c r="D598" s="3" t="s">
        <v>96</v>
      </c>
      <c r="E598" s="3" t="s">
        <v>21</v>
      </c>
      <c r="F598" s="3" t="s">
        <v>74</v>
      </c>
      <c r="H598" s="3" t="s">
        <v>61</v>
      </c>
      <c r="I598" s="3" t="s">
        <v>21</v>
      </c>
      <c r="J598" s="3" t="s">
        <v>94</v>
      </c>
      <c r="K598" s="3" t="s">
        <v>35</v>
      </c>
      <c r="L598" s="3" t="s">
        <v>26</v>
      </c>
      <c r="M598" s="3" t="s">
        <v>27</v>
      </c>
      <c r="N598" s="3" t="s">
        <v>28</v>
      </c>
      <c r="O598" s="3" t="s">
        <v>98</v>
      </c>
      <c r="P598" s="3" t="s">
        <v>589</v>
      </c>
      <c r="S598" s="3" t="str">
        <f t="shared" si="9"/>
        <v>WITH ZDATA AS
(SELECT NVL(ktf.UV_KTR_44_VKL,0) AS Value, 
'123' AS BusinessObjectKey, 
CASE WHEN adm.UV_TARIF=3 THEN 'TARIF_3'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599" spans="1:19" x14ac:dyDescent="0.2">
      <c r="A599" s="4">
        <v>1493</v>
      </c>
      <c r="B599" s="3">
        <v>1</v>
      </c>
      <c r="C599" s="3" t="s">
        <v>1093</v>
      </c>
      <c r="D599" s="3" t="s">
        <v>96</v>
      </c>
      <c r="E599" s="3" t="s">
        <v>21</v>
      </c>
      <c r="F599" s="3" t="s">
        <v>74</v>
      </c>
      <c r="H599" s="3" t="s">
        <v>61</v>
      </c>
      <c r="I599" s="3" t="s">
        <v>21</v>
      </c>
      <c r="J599" s="3" t="s">
        <v>93</v>
      </c>
      <c r="K599" s="3" t="s">
        <v>32</v>
      </c>
      <c r="L599" s="3" t="s">
        <v>26</v>
      </c>
      <c r="M599" s="3" t="s">
        <v>27</v>
      </c>
      <c r="N599" s="3" t="s">
        <v>28</v>
      </c>
      <c r="O599" s="3" t="s">
        <v>98</v>
      </c>
      <c r="P599" s="3" t="s">
        <v>589</v>
      </c>
      <c r="S599" s="3" t="str">
        <f t="shared" si="9"/>
        <v>WITH ZDATA AS
(SELECT NVL(ktf.UV_KTR_44_VKL,0) AS Value, 
'123' AS BusinessObjectKey, 
CASE WHEN adm.UV_TARIF=5 THEN 'TARIF_5'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600" spans="1:19" x14ac:dyDescent="0.2">
      <c r="A600" s="4">
        <v>1493</v>
      </c>
      <c r="B600" s="3">
        <v>1</v>
      </c>
      <c r="C600" s="3" t="s">
        <v>1093</v>
      </c>
      <c r="D600" s="3" t="s">
        <v>96</v>
      </c>
      <c r="E600" s="3" t="s">
        <v>21</v>
      </c>
      <c r="F600" s="3" t="s">
        <v>74</v>
      </c>
      <c r="H600" s="3" t="s">
        <v>61</v>
      </c>
      <c r="I600" s="3" t="s">
        <v>21</v>
      </c>
      <c r="J600" s="3" t="s">
        <v>911</v>
      </c>
      <c r="K600" s="3" t="s">
        <v>942</v>
      </c>
      <c r="L600" s="3" t="s">
        <v>26</v>
      </c>
      <c r="M600" s="3" t="s">
        <v>27</v>
      </c>
      <c r="N600" s="3" t="s">
        <v>28</v>
      </c>
      <c r="O600" s="3" t="s">
        <v>98</v>
      </c>
      <c r="P600" s="3" t="s">
        <v>589</v>
      </c>
      <c r="S600" s="3" t="str">
        <f t="shared" si="9"/>
        <v>WITH ZDATA AS
(SELECT NVL(ktf.UV_KTR_44_VKL,0)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601" spans="1:19" x14ac:dyDescent="0.2">
      <c r="A601" s="4">
        <v>1493</v>
      </c>
      <c r="B601" s="3">
        <v>2</v>
      </c>
      <c r="C601" s="3" t="s">
        <v>1094</v>
      </c>
      <c r="D601" s="3" t="s">
        <v>1095</v>
      </c>
      <c r="E601" s="3" t="s">
        <v>21</v>
      </c>
      <c r="F601" s="3" t="s">
        <v>39</v>
      </c>
      <c r="G601" s="3" t="s">
        <v>40</v>
      </c>
      <c r="I601" s="3" t="s">
        <v>41</v>
      </c>
      <c r="M601" s="3" t="s">
        <v>1096</v>
      </c>
      <c r="N601" s="3" t="s">
        <v>43</v>
      </c>
      <c r="O601" s="3" t="s">
        <v>1097</v>
      </c>
      <c r="S601" s="3" t="str">
        <f t="shared" si="9"/>
        <v>WITH ZDATA AS
(SELECT NVL(kfc.VALUE,0)-NVL(kfc2.VALUE,0) AS Value, 
'123' AS BusinessObjectKey, 
kfc.CHARACTERISTIC AS Characteristic
FROM SUM_1493_VOR_ABZUG kfc
JOIN SUM_1493_ABZUG kfc2 ON kfc.BO_KEY = kfc2.BO_KEY AND kfc.CHARACTERISTIC = kfc2.CHARACTERISTIC
) 
SELECT 'SUM_1493' AS KeyFigureName,
'123456' AS ProcessingRunId, 
'12345' AS WaveId, 
Characteristic, BusinessObjectKey, 
Value AS Value 
FROM ZDATA 
ORDER BY BusinessObjectKey;</v>
      </c>
    </row>
    <row r="602" spans="1:19" x14ac:dyDescent="0.2">
      <c r="A602" s="4">
        <v>1493</v>
      </c>
      <c r="B602" s="3">
        <v>3</v>
      </c>
      <c r="C602" s="3" t="s">
        <v>1098</v>
      </c>
      <c r="D602" s="3" t="s">
        <v>1099</v>
      </c>
      <c r="E602" s="3" t="s">
        <v>21</v>
      </c>
      <c r="F602" s="3" t="s">
        <v>101</v>
      </c>
      <c r="G602" s="3" t="s">
        <v>40</v>
      </c>
      <c r="I602" s="3" t="s">
        <v>41</v>
      </c>
      <c r="M602" s="3" t="s">
        <v>1100</v>
      </c>
      <c r="N602" s="3" t="s">
        <v>43</v>
      </c>
      <c r="O602" s="3" t="s">
        <v>1036</v>
      </c>
      <c r="P602" s="3" t="s">
        <v>55</v>
      </c>
      <c r="S602" s="3" t="str">
        <f t="shared" si="9"/>
        <v>WITH ZDATA AS
(SELECT TRUNC(NVL(kfc.VALUE,0) / NVL(kfc2.VALUE,0),10) AS Value, 
'123' AS BusinessObjectKey, 
kfc.CHARACTERISTIC AS Characteristic
FROM SUM_1493 kfc
JOIN SUM_1471 kfc2 ON kfc.BO_KEY = kfc2.BO_KEY AND kfc.CHARACTERISTIC = kfc2.CHARACTERISTIC
WHERE kfc2.VALUE &lt;&gt; 0 AND kfc2.VALUE IS NOT NULL
) 
SELECT 'ANTEIL_1493' AS KeyFigureName,
'123456' AS ProcessingRunId, 
'12345' AS WaveId, 
Characteristic, BusinessObjectKey, 
Value AS Value 
FROM ZDATA 
ORDER BY BusinessObjectKey;</v>
      </c>
    </row>
    <row r="603" spans="1:19" x14ac:dyDescent="0.2">
      <c r="A603" s="4">
        <v>1493</v>
      </c>
      <c r="B603" s="3">
        <v>4</v>
      </c>
      <c r="C603" s="3" t="s">
        <v>1101</v>
      </c>
      <c r="D603" s="3" t="s">
        <v>1102</v>
      </c>
      <c r="E603" s="3" t="s">
        <v>21</v>
      </c>
      <c r="F603" s="3" t="s">
        <v>39</v>
      </c>
      <c r="G603" s="3" t="s">
        <v>40</v>
      </c>
      <c r="I603" s="3" t="s">
        <v>41</v>
      </c>
      <c r="M603" s="3" t="s">
        <v>1103</v>
      </c>
      <c r="N603" s="3" t="s">
        <v>43</v>
      </c>
      <c r="O603" s="3" t="s">
        <v>1104</v>
      </c>
      <c r="S603" s="3" t="str">
        <f t="shared" si="9"/>
        <v>WITH ZDATA AS
(SELECT NVL(kfc.VALUE,0)-NVL(kfc2.VALUE,0) AS Value, 
'123' AS BusinessObjectKey, 
kfc.CHARACTERISTIC AS Characteristic
FROM ANTEIL_1493 kfc
JOIN PDP_ANTEIL_1493 kfc2 ON kfc.BO_KEY = kfc2.BO_KEY AND kfc.CHARACTERISTIC = kfc2.CHARACTERISTIC
) 
SELECT 'VGL_ANTEIL_1493' AS KeyFigureName,
'123456' AS ProcessingRunId, 
'12345' AS WaveId, 
Characteristic, BusinessObjectKey, 
Value AS Value 
FROM ZDATA 
ORDER BY BusinessObjectKey;</v>
      </c>
    </row>
    <row r="604" spans="1:19" x14ac:dyDescent="0.2">
      <c r="A604" s="4">
        <v>1495</v>
      </c>
      <c r="B604" s="3">
        <v>1</v>
      </c>
      <c r="C604" s="3" t="s">
        <v>1105</v>
      </c>
      <c r="D604" s="3" t="s">
        <v>898</v>
      </c>
      <c r="E604" s="3" t="s">
        <v>21</v>
      </c>
      <c r="F604" s="3" t="s">
        <v>1106</v>
      </c>
      <c r="H604" s="3" t="s">
        <v>61</v>
      </c>
      <c r="I604" s="3" t="s">
        <v>21</v>
      </c>
      <c r="J604" s="3" t="s">
        <v>900</v>
      </c>
      <c r="K604" s="3" t="s">
        <v>901</v>
      </c>
      <c r="L604" s="3" t="s">
        <v>26</v>
      </c>
      <c r="M604" s="3" t="s">
        <v>27</v>
      </c>
      <c r="N604" s="3" t="s">
        <v>28</v>
      </c>
      <c r="O604" s="3" t="s">
        <v>902</v>
      </c>
      <c r="P604" s="3" t="s">
        <v>903</v>
      </c>
      <c r="S604" s="3" t="str">
        <f t="shared" si="9"/>
        <v>WITH ZDATA AS
(SELECT NVL(pdp.UV_KTR_3801,0)+NVL(pdp.UV_KTR_3802,0)+NVL(pdp.UV_KTR_3811,0)+NVL(pdp.UV_KTR_3812,0)+NVL(pdp.UV_KTR_4051,0)+NVL(pdp.UV_KTR_4052,0) AS Value, 
'123' AS BusinessObjectKey, 
CASE WHEN pdp.UV_KTR_TYP=1  THEN 'STAT' ELSE 'OTHER' 
END AS Characteristic
FROM ADMINISTRATIVES adm
JOIN PDP_KOSTENTRAEGERFALL pdp ON adm.UV_FALL_ID=pdp.UV_FALL_ID
WHERE adm.UV_ABC_FALL IN ('B','C')
) 
SELECT 'SUM_1495_KTF_ABZUG' AS KeyFigureName,
'123456' AS ProcessingRunId, 
'12345' AS WaveId, 
Characteristic, BusinessObjectKey, 
SUM(Value) AS Value 
FROM ZDATA 
GROUP BY Characteristic, BusinessObjectKey
ORDER BY BusinessObjectKey;</v>
      </c>
    </row>
    <row r="605" spans="1:19" x14ac:dyDescent="0.2">
      <c r="A605" s="4">
        <v>1495</v>
      </c>
      <c r="B605" s="3">
        <v>1</v>
      </c>
      <c r="C605" s="3" t="s">
        <v>1107</v>
      </c>
      <c r="D605" s="3" t="s">
        <v>59</v>
      </c>
      <c r="E605" s="3" t="s">
        <v>21</v>
      </c>
      <c r="F605" s="3" t="s">
        <v>1108</v>
      </c>
      <c r="H605" s="3" t="s">
        <v>61</v>
      </c>
      <c r="I605" s="3" t="s">
        <v>21</v>
      </c>
      <c r="J605" s="3" t="s">
        <v>900</v>
      </c>
      <c r="K605" s="3" t="s">
        <v>589</v>
      </c>
      <c r="L605" s="3" t="s">
        <v>26</v>
      </c>
      <c r="M605" s="3" t="s">
        <v>64</v>
      </c>
      <c r="N605" s="3" t="s">
        <v>28</v>
      </c>
      <c r="S605" s="3" t="str">
        <f t="shared" si="9"/>
        <v>WITH ZDATA AS
(SELECT NVL(ktf.UV_KTR_3801,0)+NVL(ktf.UV_KTR_3802,0)+NVL(ktf.UV_KTR_3811,0)+NVL(ktf.UV_KTR_3812,0)+NVL(ktf.UV_KTR_4051,0)+NVL(ktf.UV_KTR_4052,0) AS Value, 
'123' AS BusinessObjectKey, 
CASE WHEN ktf.UV_KTR_TYP=1 THEN 'STAT' ELSE 'OTHER' 
END AS Characteristic
FROM KOSTENTRAEGERFALL ktf
) 
SELECT 'SUM_1495_KTF_VOR_ABZUG' AS KeyFigureName,
'123456' AS ProcessingRunId, 
'12345' AS WaveId, 
Characteristic, BusinessObjectKey, 
SUM(Value) AS Value 
FROM ZDATA 
GROUP BY Characteristic, BusinessObjectKey
ORDER BY BusinessObjectKey;</v>
      </c>
    </row>
    <row r="606" spans="1:19" x14ac:dyDescent="0.2">
      <c r="A606" s="4">
        <v>1495</v>
      </c>
      <c r="B606" s="3">
        <v>1</v>
      </c>
      <c r="C606" s="3" t="s">
        <v>1107</v>
      </c>
      <c r="D606" s="3" t="s">
        <v>59</v>
      </c>
      <c r="E606" s="3" t="s">
        <v>21</v>
      </c>
      <c r="F606" s="3" t="s">
        <v>1108</v>
      </c>
      <c r="H606" s="3" t="s">
        <v>61</v>
      </c>
      <c r="I606" s="3" t="s">
        <v>21</v>
      </c>
      <c r="J606" s="3" t="s">
        <v>906</v>
      </c>
      <c r="K606" s="3" t="s">
        <v>907</v>
      </c>
      <c r="L606" s="3" t="s">
        <v>26</v>
      </c>
      <c r="M606" s="3" t="s">
        <v>64</v>
      </c>
      <c r="N606" s="3" t="s">
        <v>28</v>
      </c>
      <c r="S606" s="3" t="str">
        <f t="shared" si="9"/>
        <v>WITH ZDATA AS
(SELECT NVL(ktf.UV_KTR_3801,0)+NVL(ktf.UV_KTR_3802,0)+NVL(ktf.UV_KTR_3811,0)+NVL(ktf.UV_KTR_3812,0)+NVL(ktf.UV_KTR_4051,0)+NVL(ktf.UV_KTR_4052,0) AS Value, 
'123' AS BusinessObjectKey, 
CASE WHEN ktf.UV_KTR_TYP BETWEEN 200 AND 499 THEN 'AMBU' ELSE 'OTHER' 
END AS Characteristic
FROM KOSTENTRAEGERFALL ktf
) 
SELECT 'SUM_1495_KTF_VOR_ABZUG' AS KeyFigureName,
'123456' AS ProcessingRunId, 
'12345' AS WaveId, 
Characteristic, BusinessObjectKey, 
SUM(Value) AS Value 
FROM ZDATA 
GROUP BY Characteristic, BusinessObjectKey
ORDER BY BusinessObjectKey;</v>
      </c>
    </row>
    <row r="607" spans="1:19" x14ac:dyDescent="0.2">
      <c r="A607" s="4">
        <v>1495</v>
      </c>
      <c r="B607" s="3">
        <v>1</v>
      </c>
      <c r="C607" s="3" t="s">
        <v>1109</v>
      </c>
      <c r="D607" s="3" t="s">
        <v>66</v>
      </c>
      <c r="E607" s="3" t="s">
        <v>41</v>
      </c>
      <c r="F607" s="3" t="s">
        <v>1110</v>
      </c>
      <c r="H607" s="3" t="s">
        <v>61</v>
      </c>
      <c r="I607" s="3" t="s">
        <v>21</v>
      </c>
      <c r="J607" s="3" t="s">
        <v>900</v>
      </c>
      <c r="K607" s="3" t="s">
        <v>914</v>
      </c>
      <c r="L607" s="3" t="s">
        <v>26</v>
      </c>
      <c r="M607" s="3" t="s">
        <v>68</v>
      </c>
      <c r="N607" s="3" t="s">
        <v>28</v>
      </c>
      <c r="S607" s="3" t="str">
        <f t="shared" si="9"/>
        <v>WITH ZDATA AS
(SELECT NVL(kts.UV_KTR_3801,0)+NVL(kts.UV_KTR_3802,0)+NVL(kts.UV_KTR_3811,0)+NVL(kts.UV_KTR_3812,0)+NVL(kts.UV_KTR_4051,0)+NVL(kts.UV_KTR_4052,0) AS Value, 
'123' AS BusinessObjectKey, 
CASE WHEN kts.UV_KTR_TYP IN (101,102) THEN 'STAT' ELSE 'OTHER' 
END AS Characteristic
FROM KOSTENTRAEGERSTANDORT kts
) 
SELECT 'SUM_1495_KTS' AS KeyFigureName,
'123456' AS ProcessingRunId, 
'12345' AS WaveId, 
Characteristic, BusinessObjectKey, 
SUM(Value) AS Value 
FROM ZDATA 
GROUP BY Characteristic, BusinessObjectKey
ORDER BY BusinessObjectKey;</v>
      </c>
    </row>
    <row r="608" spans="1:19" x14ac:dyDescent="0.2">
      <c r="A608" s="4">
        <v>1495</v>
      </c>
      <c r="B608" s="3">
        <v>1</v>
      </c>
      <c r="C608" s="3" t="s">
        <v>1109</v>
      </c>
      <c r="D608" s="3" t="s">
        <v>66</v>
      </c>
      <c r="E608" s="3" t="s">
        <v>41</v>
      </c>
      <c r="F608" s="3" t="s">
        <v>1110</v>
      </c>
      <c r="H608" s="3" t="s">
        <v>61</v>
      </c>
      <c r="I608" s="3" t="s">
        <v>21</v>
      </c>
      <c r="J608" s="3" t="s">
        <v>906</v>
      </c>
      <c r="K608" s="3" t="s">
        <v>915</v>
      </c>
      <c r="L608" s="3" t="s">
        <v>26</v>
      </c>
      <c r="M608" s="3" t="s">
        <v>68</v>
      </c>
      <c r="N608" s="3" t="s">
        <v>28</v>
      </c>
      <c r="S608" s="3" t="str">
        <f t="shared" si="9"/>
        <v>WITH ZDATA AS
(SELECT NVL(kts.UV_KTR_3801,0)+NVL(kts.UV_KTR_3802,0)+NVL(kts.UV_KTR_3811,0)+NVL(kts.UV_KTR_3812,0)+NVL(kts.UV_KTR_4051,0)+NVL(kts.UV_KTR_4052,0) AS Value, 
'123' AS BusinessObjectKey, 
CASE WHEN kts.UV_KTR_TYP BETWEEN 200 AND 499 THEN 'AMBU' ELSE 'OTHER' 
END AS Characteristic
FROM KOSTENTRAEGERSTANDORT kts
) 
SELECT 'SUM_1495_KTS' AS KeyFigureName,
'123456' AS ProcessingRunId, 
'12345' AS WaveId, 
Characteristic, BusinessObjectKey, 
SUM(Value) AS Value 
FROM ZDATA 
GROUP BY Characteristic, BusinessObjectKey
ORDER BY BusinessObjectKey;</v>
      </c>
    </row>
    <row r="609" spans="1:19" x14ac:dyDescent="0.2">
      <c r="A609" s="4">
        <v>1495</v>
      </c>
      <c r="B609" s="3">
        <v>1</v>
      </c>
      <c r="C609" s="3" t="s">
        <v>1111</v>
      </c>
      <c r="D609" s="3" t="s">
        <v>70</v>
      </c>
      <c r="E609" s="3" t="s">
        <v>41</v>
      </c>
      <c r="F609" s="3" t="s">
        <v>1112</v>
      </c>
      <c r="H609" s="3" t="s">
        <v>61</v>
      </c>
      <c r="I609" s="3" t="s">
        <v>21</v>
      </c>
      <c r="J609" s="3" t="s">
        <v>900</v>
      </c>
      <c r="K609" s="3" t="s">
        <v>919</v>
      </c>
      <c r="L609" s="3" t="s">
        <v>26</v>
      </c>
      <c r="M609" s="3" t="s">
        <v>72</v>
      </c>
      <c r="N609" s="3" t="s">
        <v>28</v>
      </c>
      <c r="S609" s="3" t="str">
        <f t="shared" si="9"/>
        <v>WITH ZDATA AS
(SELECT NVL(ktu.UV_KTR_3801,0)+NVL(ktu.UV_KTR_3802,0)+NVL(ktu.UV_KTR_3811,0)+NVL(ktu.UV_KTR_3812,0)+NVL(ktu.UV_KTR_4051,0)+NVL(ktu.UV_KTR_4052,0) AS Value, 
'123' AS BusinessObjectKey, 
CASE WHEN ktu.UV_KTR_TYP IN (101,102) THEN 'STAT' ELSE 'OTHER' 
END AS Characteristic
FROM KOSTENTRAEGERUNTERNEHMEN ktu
) 
SELECT 'SUM_1495_KTU' AS KeyFigureName,
'123456' AS ProcessingRunId, 
'12345' AS WaveId, 
Characteristic, BusinessObjectKey, 
SUM(Value) AS Value 
FROM ZDATA 
GROUP BY Characteristic, BusinessObjectKey
ORDER BY BusinessObjectKey;</v>
      </c>
    </row>
    <row r="610" spans="1:19" x14ac:dyDescent="0.2">
      <c r="A610" s="4">
        <v>1495</v>
      </c>
      <c r="B610" s="3">
        <v>1</v>
      </c>
      <c r="C610" s="3" t="s">
        <v>1111</v>
      </c>
      <c r="D610" s="3" t="s">
        <v>70</v>
      </c>
      <c r="E610" s="3" t="s">
        <v>41</v>
      </c>
      <c r="F610" s="3" t="s">
        <v>1112</v>
      </c>
      <c r="H610" s="3" t="s">
        <v>61</v>
      </c>
      <c r="I610" s="3" t="s">
        <v>21</v>
      </c>
      <c r="J610" s="3" t="s">
        <v>906</v>
      </c>
      <c r="K610" s="3" t="s">
        <v>920</v>
      </c>
      <c r="L610" s="3" t="s">
        <v>26</v>
      </c>
      <c r="M610" s="3" t="s">
        <v>72</v>
      </c>
      <c r="N610" s="3" t="s">
        <v>28</v>
      </c>
      <c r="S610" s="3" t="str">
        <f t="shared" si="9"/>
        <v>WITH ZDATA AS
(SELECT NVL(ktu.UV_KTR_3801,0)+NVL(ktu.UV_KTR_3802,0)+NVL(ktu.UV_KTR_3811,0)+NVL(ktu.UV_KTR_3812,0)+NVL(ktu.UV_KTR_4051,0)+NVL(ktu.UV_KTR_4052,0) AS Value, 
'123' AS BusinessObjectKey, 
CASE WHEN ktu.UV_KTR_TYP BETWEEN 200 AND 499 THEN 'AMBU' ELSE 'OTHER' 
END AS Characteristic
FROM KOSTENTRAEGERUNTERNEHMEN ktu
) 
SELECT 'SUM_1495_KTU' AS KeyFigureName,
'123456' AS ProcessingRunId, 
'12345' AS WaveId, 
Characteristic, BusinessObjectKey, 
SUM(Value) AS Value 
FROM ZDATA 
GROUP BY Characteristic, BusinessObjectKey
ORDER BY BusinessObjectKey;</v>
      </c>
    </row>
    <row r="611" spans="1:19" x14ac:dyDescent="0.2">
      <c r="A611" s="4">
        <v>1495</v>
      </c>
      <c r="B611" s="3">
        <v>2</v>
      </c>
      <c r="C611" s="3" t="s">
        <v>1113</v>
      </c>
      <c r="D611" s="3" t="s">
        <v>1114</v>
      </c>
      <c r="E611" s="3" t="s">
        <v>21</v>
      </c>
      <c r="F611" s="3" t="s">
        <v>39</v>
      </c>
      <c r="G611" s="3" t="s">
        <v>40</v>
      </c>
      <c r="I611" s="3" t="s">
        <v>41</v>
      </c>
      <c r="M611" s="3" t="s">
        <v>1115</v>
      </c>
      <c r="N611" s="3" t="s">
        <v>43</v>
      </c>
      <c r="O611" s="3" t="s">
        <v>1116</v>
      </c>
      <c r="S611" s="3" t="str">
        <f t="shared" si="9"/>
        <v>WITH ZDATA AS
(SELECT NVL(kfc.VALUE,0)-NVL(kfc2.VALUE,0) AS Value, 
'123' AS BusinessObjectKey, 
kfc.CHARACTERISTIC AS Characteristic
FROM SUM_1495_KTF_VOR_ABZUG kfc
LEFT JOIN SUM_1495_KTF_ABZUG kfc2 ON kfc.BO_KEY = kfc2.BO_KEY AND kfc.CHARACTERISTIC = kfc2.CHARACTERISTIC
) 
SELECT 'SUM_1495_KTF' AS KeyFigureName,
'123456' AS ProcessingRunId, 
'12345' AS WaveId, 
Characteristic, BusinessObjectKey, 
Value AS Value 
FROM ZDATA 
ORDER BY BusinessObjectKey;</v>
      </c>
    </row>
    <row r="612" spans="1:19" x14ac:dyDescent="0.2">
      <c r="A612" s="4">
        <v>1495</v>
      </c>
      <c r="B612" s="3">
        <v>3</v>
      </c>
      <c r="C612" s="3" t="s">
        <v>1117</v>
      </c>
      <c r="D612" s="3" t="s">
        <v>1118</v>
      </c>
      <c r="E612" s="3" t="s">
        <v>21</v>
      </c>
      <c r="F612" s="3" t="s">
        <v>81</v>
      </c>
      <c r="G612" s="3" t="s">
        <v>40</v>
      </c>
      <c r="I612" s="3" t="s">
        <v>41</v>
      </c>
      <c r="M612" s="3" t="s">
        <v>1119</v>
      </c>
      <c r="N612" s="3" t="s">
        <v>1120</v>
      </c>
      <c r="O612" s="3" t="s">
        <v>1121</v>
      </c>
      <c r="S612" s="3" t="str">
        <f t="shared" si="9"/>
        <v>WITH ZDATA AS
(SELECT NVL(kfc.VALUE,0)+NVL(kfc2.VALUE,0)+NVL(kfc3.VALUE,0) AS Value, 
'123' AS BusinessObjectKey, 
kfc.CHARACTERISTIC AS Characteristic
FROM SUM_1495_KTF kfc
JOIN SUM_1495_KTS kfc2 ON kfc.BO_KEY = kfc2.BO_KEY AND kfc.CHARACTERISTIC = kfc2.CHARACTERISTIC JOIN SUM_1495_KTU kfc3 ON kfc.BO_KEY = kfc3.BO_KEY AND kfc.CHARACTERISTIC = kfc3.CHARACTERISTIC
) 
SELECT 'SUM_1495' AS KeyFigureName,
'123456' AS ProcessingRunId, 
'12345' AS WaveId, 
Characteristic, BusinessObjectKey, 
Value AS Value 
FROM ZDATA 
ORDER BY BusinessObjectKey;</v>
      </c>
    </row>
    <row r="613" spans="1:19" x14ac:dyDescent="0.2">
      <c r="A613" s="4">
        <v>1495</v>
      </c>
      <c r="B613" s="3">
        <v>4</v>
      </c>
      <c r="C613" s="3" t="s">
        <v>1122</v>
      </c>
      <c r="D613" s="3" t="s">
        <v>1123</v>
      </c>
      <c r="E613" s="3" t="s">
        <v>21</v>
      </c>
      <c r="F613" s="3" t="s">
        <v>932</v>
      </c>
      <c r="G613" s="3" t="s">
        <v>40</v>
      </c>
      <c r="I613" s="3" t="s">
        <v>41</v>
      </c>
      <c r="M613" s="3" t="s">
        <v>1124</v>
      </c>
      <c r="N613" s="3" t="s">
        <v>43</v>
      </c>
      <c r="O613" s="3" t="s">
        <v>934</v>
      </c>
      <c r="P613" s="3" t="s">
        <v>935</v>
      </c>
      <c r="S613" s="3" t="str">
        <f t="shared" si="9"/>
        <v>WITH ZDATA AS
(SELECT TRUNC(NVL(kfc.VALUE,0) / NVL(kfc_total.VALUE,0),10) AS Value, 
'123' AS BusinessObjectKey, 
kfc.CHARACTERISTIC AS Characteristic
FROM SUM_1495 kfc
JOIN SUM_1465 kfc_total ON kfc_total.CHARACTERISTIC = 'TOTAL'
WHERE kfc_total.VALUE &lt;&gt; 0 AND kfc_total.VALUE IS NOT NULL
) 
SELECT 'ANTEIL_1495' AS KeyFigureName,
'123456' AS ProcessingRunId, 
'12345' AS WaveId, 
Characteristic, BusinessObjectKey, 
Value AS Value 
FROM ZDATA 
ORDER BY BusinessObjectKey;</v>
      </c>
    </row>
    <row r="614" spans="1:19" x14ac:dyDescent="0.2">
      <c r="A614" s="4">
        <v>1495</v>
      </c>
      <c r="B614" s="3">
        <v>5</v>
      </c>
      <c r="C614" s="3" t="s">
        <v>1125</v>
      </c>
      <c r="D614" s="3" t="s">
        <v>1126</v>
      </c>
      <c r="E614" s="3" t="s">
        <v>21</v>
      </c>
      <c r="F614" s="3" t="s">
        <v>39</v>
      </c>
      <c r="G614" s="3" t="s">
        <v>40</v>
      </c>
      <c r="I614" s="3" t="s">
        <v>41</v>
      </c>
      <c r="M614" s="3" t="s">
        <v>1127</v>
      </c>
      <c r="N614" s="3" t="s">
        <v>43</v>
      </c>
      <c r="O614" s="3" t="s">
        <v>1128</v>
      </c>
      <c r="S614" s="3" t="str">
        <f t="shared" si="9"/>
        <v>WITH ZDATA AS
(SELECT NVL(kfc.VALUE,0)-NVL(kfc2.VALUE,0) AS Value, 
'123' AS BusinessObjectKey, 
kfc.CHARACTERISTIC AS Characteristic
FROM ANTEIL_1495 kfc
JOIN PDP_ANTEIL_1495 kfc2 ON kfc.BO_KEY = kfc2.BO_KEY AND kfc.CHARACTERISTIC = kfc2.CHARACTERISTIC
) 
SELECT 'VGL_ANTEIL_1495' AS KeyFigureName,
'123456' AS ProcessingRunId, 
'12345' AS WaveId, 
Characteristic, BusinessObjectKey, 
Value AS Value 
FROM ZDATA 
ORDER BY BusinessObjectKey;</v>
      </c>
    </row>
    <row r="615" spans="1:19" x14ac:dyDescent="0.2">
      <c r="A615" s="4">
        <v>1504</v>
      </c>
      <c r="B615" s="3">
        <v>1</v>
      </c>
      <c r="C615" s="3" t="s">
        <v>1129</v>
      </c>
      <c r="D615" s="3" t="s">
        <v>96</v>
      </c>
      <c r="E615" s="3" t="s">
        <v>21</v>
      </c>
      <c r="F615" s="3" t="s">
        <v>1130</v>
      </c>
      <c r="H615" s="3" t="s">
        <v>61</v>
      </c>
      <c r="I615" s="3" t="s">
        <v>21</v>
      </c>
      <c r="J615" s="3" t="s">
        <v>1131</v>
      </c>
      <c r="K615" s="3" t="s">
        <v>589</v>
      </c>
      <c r="L615" s="3" t="s">
        <v>26</v>
      </c>
      <c r="M615" s="3" t="s">
        <v>27</v>
      </c>
      <c r="N615" s="3" t="s">
        <v>28</v>
      </c>
      <c r="O615" s="3" t="s">
        <v>98</v>
      </c>
      <c r="P615" s="3" t="s">
        <v>1003</v>
      </c>
      <c r="S615" s="3" t="str">
        <f t="shared" si="9"/>
        <v>WITH ZDATA AS
(SELECT NVL(ktf.UV_KTR_65,0) AS Value, 
'123' AS BusinessObjectKey, 
CASE WHEN ktf.UV_KTR_TYP=1 THEN 'KTR_65' ELSE 'OTHER' 
END AS Characteristic
FROM ADMINISTRATIVES adm
JOIN KOSTENTRAEGERFALL ktf ON adm.UV_FALL_ID=ktf.UV_FALL_ID AND adm.UV_BURNR=ktf.UV_BURNR
WHERE adm.UV_ABC_FALL='A'
) 
SELECT 'SUM_1504_KTF' AS KeyFigureName,
'123456' AS ProcessingRunId, 
'12345' AS WaveId, 
Characteristic, BusinessObjectKey, 
SUM(Value) AS Value 
FROM ZDATA 
GROUP BY Characteristic, BusinessObjectKey
ORDER BY BusinessObjectKey;</v>
      </c>
    </row>
    <row r="616" spans="1:19" x14ac:dyDescent="0.2">
      <c r="A616" s="4">
        <v>1504</v>
      </c>
      <c r="B616" s="3">
        <v>1</v>
      </c>
      <c r="C616" s="3" t="s">
        <v>1132</v>
      </c>
      <c r="D616" s="3" t="s">
        <v>66</v>
      </c>
      <c r="E616" s="3" t="s">
        <v>41</v>
      </c>
      <c r="F616" s="3" t="s">
        <v>1133</v>
      </c>
      <c r="H616" s="3" t="s">
        <v>61</v>
      </c>
      <c r="I616" s="3" t="s">
        <v>21</v>
      </c>
      <c r="J616" s="3" t="s">
        <v>1131</v>
      </c>
      <c r="K616" s="3" t="s">
        <v>1005</v>
      </c>
      <c r="L616" s="3" t="s">
        <v>26</v>
      </c>
      <c r="M616" s="3" t="s">
        <v>68</v>
      </c>
      <c r="N616" s="3" t="s">
        <v>28</v>
      </c>
      <c r="S616" s="3" t="str">
        <f t="shared" si="9"/>
        <v>WITH ZDATA AS
(SELECT NVL(kts.UV_KTR_65,0) AS Value, 
'123' AS BusinessObjectKey, 
CASE WHEN kts.UV_KTR_TYP &lt;&gt; 1 THEN 'KTR_65' ELSE 'OTHER' 
END AS Characteristic
FROM KOSTENTRAEGERSTANDORT kts
) 
SELECT 'SUM_1504_KTS' AS KeyFigureName,
'123456' AS ProcessingRunId, 
'12345' AS WaveId, 
Characteristic, BusinessObjectKey, 
SUM(Value) AS Value 
FROM ZDATA 
GROUP BY Characteristic, BusinessObjectKey
ORDER BY BusinessObjectKey;</v>
      </c>
    </row>
    <row r="617" spans="1:19" x14ac:dyDescent="0.2">
      <c r="A617" s="4">
        <v>1504</v>
      </c>
      <c r="B617" s="3">
        <v>1</v>
      </c>
      <c r="C617" s="3" t="s">
        <v>1134</v>
      </c>
      <c r="D617" s="3" t="s">
        <v>70</v>
      </c>
      <c r="E617" s="3" t="s">
        <v>41</v>
      </c>
      <c r="F617" s="3" t="s">
        <v>1135</v>
      </c>
      <c r="H617" s="3" t="s">
        <v>61</v>
      </c>
      <c r="I617" s="3" t="s">
        <v>21</v>
      </c>
      <c r="J617" s="3" t="s">
        <v>1131</v>
      </c>
      <c r="K617" s="3" t="s">
        <v>1007</v>
      </c>
      <c r="L617" s="3" t="s">
        <v>26</v>
      </c>
      <c r="M617" s="3" t="s">
        <v>72</v>
      </c>
      <c r="N617" s="3" t="s">
        <v>28</v>
      </c>
      <c r="S617" s="3" t="str">
        <f t="shared" si="9"/>
        <v>WITH ZDATA AS
(SELECT NVL(ktu.UV_KTR_65,0) AS Value, 
'123' AS BusinessObjectKey, 
CASE WHEN ktu.UV_KTR_TYP &lt;&gt; 1 THEN 'KTR_65' ELSE 'OTHER' 
END AS Characteristic
FROM KOSTENTRAEGERUNTERNEHMEN ktu
) 
SELECT 'SUM_1504_KTU' AS KeyFigureName,
'123456' AS ProcessingRunId, 
'12345' AS WaveId, 
Characteristic, BusinessObjectKey, 
SUM(Value) AS Value 
FROM ZDATA 
GROUP BY Characteristic, BusinessObjectKey
ORDER BY BusinessObjectKey;</v>
      </c>
    </row>
    <row r="618" spans="1:19" x14ac:dyDescent="0.2">
      <c r="A618" s="4">
        <v>1504</v>
      </c>
      <c r="B618" s="3">
        <v>2</v>
      </c>
      <c r="C618" s="3" t="s">
        <v>1136</v>
      </c>
      <c r="D618" s="3" t="s">
        <v>1137</v>
      </c>
      <c r="E618" s="3" t="s">
        <v>21</v>
      </c>
      <c r="F618" s="3" t="s">
        <v>81</v>
      </c>
      <c r="G618" s="3" t="s">
        <v>40</v>
      </c>
      <c r="I618" s="3" t="s">
        <v>41</v>
      </c>
      <c r="M618" s="3" t="s">
        <v>1138</v>
      </c>
      <c r="N618" s="3" t="s">
        <v>43</v>
      </c>
      <c r="O618" s="3" t="s">
        <v>1139</v>
      </c>
      <c r="S618" s="3" t="str">
        <f t="shared" si="9"/>
        <v>WITH ZDATA AS
(SELECT NVL(kfc.VALUE,0)+NVL(kfc2.VALUE,0)+NVL(kfc3.VALUE,0) AS Value, 
'123' AS BusinessObjectKey, 
kfc.CHARACTERISTIC AS Characteristic
FROM SUM_1504_KTF kfc
JOIN SUM_1504_KTS kfc2 ON kfc.BO_KEY = kfc2.BO_KEY AND kfc.CHARACTERISTIC = kfc2.CHARACTERISTIC JOIN SUM_1504_KTU kfc3 ON kfc.BO_KEY = kfc3.BO_KEY AND kfc.CHARACTERISTIC = kfc3.CHARACTERISTIC
) 
SELECT 'SUM_1504' AS KeyFigureName,
'123456' AS ProcessingRunId, 
'12345' AS WaveId, 
Characteristic, BusinessObjectKey, 
Value AS Value 
FROM ZDATA 
ORDER BY BusinessObjectKey;</v>
      </c>
    </row>
    <row r="619" spans="1:19" x14ac:dyDescent="0.2">
      <c r="A619" s="4">
        <v>1504</v>
      </c>
      <c r="B619" s="3">
        <v>3</v>
      </c>
      <c r="C619" s="3" t="s">
        <v>1140</v>
      </c>
      <c r="D619" s="3" t="s">
        <v>1141</v>
      </c>
      <c r="E619" s="3" t="s">
        <v>21</v>
      </c>
      <c r="F619" s="3" t="s">
        <v>101</v>
      </c>
      <c r="G619" s="3" t="s">
        <v>40</v>
      </c>
      <c r="I619" s="3" t="s">
        <v>41</v>
      </c>
      <c r="M619" s="3" t="s">
        <v>1142</v>
      </c>
      <c r="N619" s="3" t="s">
        <v>43</v>
      </c>
      <c r="O619" s="3" t="s">
        <v>1143</v>
      </c>
      <c r="P619" s="3" t="s">
        <v>55</v>
      </c>
      <c r="S619" s="3" t="str">
        <f t="shared" si="9"/>
        <v>WITH ZDATA AS
(SELECT TRUNC(NVL(kfc.VALUE,0) / NVL(kfc2.VALUE,0),10) AS Value, 
'123' AS BusinessObjectKey, 
kfc.CHARACTERISTIC AS Characteristic
FROM SUM_1504 kfc
JOIN SUM_1480_STUECKRECHNUNG kfc2 ON kfc.BO_KEY = kfc2.BO_KEY AND kfc.CHARACTERISTIC = 'KTR_65' AND kfc2.CHARACTERISTIC = 'ERLOESKONTEN'
WHERE kfc2.VALUE &lt;&gt; 0 AND kfc2.VALUE IS NOT NULL
) 
SELECT 'ANTEIL_1504' AS KeyFigureName,
'123456' AS ProcessingRunId, 
'12345' AS WaveId, 
Characteristic, BusinessObjectKey, 
Value AS Value 
FROM ZDATA 
ORDER BY BusinessObjectKey;</v>
      </c>
    </row>
    <row r="620" spans="1:19" x14ac:dyDescent="0.2">
      <c r="A620" s="4">
        <v>1504</v>
      </c>
      <c r="B620" s="3">
        <v>4</v>
      </c>
      <c r="C620" s="3" t="s">
        <v>1144</v>
      </c>
      <c r="D620" s="3" t="s">
        <v>1145</v>
      </c>
      <c r="E620" s="3" t="s">
        <v>21</v>
      </c>
      <c r="F620" s="3" t="s">
        <v>39</v>
      </c>
      <c r="G620" s="3" t="s">
        <v>40</v>
      </c>
      <c r="I620" s="3" t="s">
        <v>41</v>
      </c>
      <c r="M620" s="3" t="s">
        <v>1146</v>
      </c>
      <c r="N620" s="3" t="s">
        <v>43</v>
      </c>
      <c r="O620" s="3" t="s">
        <v>1147</v>
      </c>
      <c r="S620" s="3" t="str">
        <f t="shared" si="9"/>
        <v>WITH ZDATA AS
(SELECT NVL(kfc.VALUE,0)-NVL(kfc2.VALUE,0) AS Value, 
'123' AS BusinessObjectKey, 
kfc.CHARACTERISTIC AS Characteristic
FROM ANTEIL_1504 kfc
JOIN PDP_ANTEIL_1504 kfc2 ON kfc.BO_KEY = kfc2.BO_KEY AND kfc.CHARACTERISTIC = kfc2.CHARACTERISTIC
) 
SELECT 'VGL_ANTEIL_1504' AS KeyFigureName,
'123456' AS ProcessingRunId, 
'12345' AS WaveId, 
Characteristic, BusinessObjectKey, 
Value AS Value 
FROM ZDATA 
ORDER BY BusinessObjectKey;</v>
      </c>
    </row>
    <row r="621" spans="1:19" x14ac:dyDescent="0.2">
      <c r="A621" s="4">
        <v>1505</v>
      </c>
      <c r="B621" s="3">
        <v>1</v>
      </c>
      <c r="C621" s="3" t="s">
        <v>1148</v>
      </c>
      <c r="D621" s="3" t="s">
        <v>96</v>
      </c>
      <c r="E621" s="3" t="s">
        <v>21</v>
      </c>
      <c r="F621" s="3" t="s">
        <v>1149</v>
      </c>
      <c r="H621" s="3" t="s">
        <v>61</v>
      </c>
      <c r="I621" s="3" t="s">
        <v>21</v>
      </c>
      <c r="J621" s="3" t="s">
        <v>1150</v>
      </c>
      <c r="K621" s="3" t="s">
        <v>589</v>
      </c>
      <c r="L621" s="3" t="s">
        <v>26</v>
      </c>
      <c r="M621" s="3" t="s">
        <v>27</v>
      </c>
      <c r="N621" s="3" t="s">
        <v>28</v>
      </c>
      <c r="O621" s="3" t="s">
        <v>98</v>
      </c>
      <c r="P621" s="3" t="s">
        <v>1003</v>
      </c>
      <c r="S621" s="3" t="str">
        <f t="shared" si="9"/>
        <v>WITH ZDATA AS
(SELECT NVL(ktf.UV_KTR_66,0) AS Value, 
'123' AS BusinessObjectKey, 
CASE WHEN ktf.UV_KTR_TYP=1 THEN 'KTR_66' ELSE 'OTHER' 
END AS Characteristic
FROM ADMINISTRATIVES adm
JOIN KOSTENTRAEGERFALL ktf ON adm.UV_FALL_ID=ktf.UV_FALL_ID AND adm.UV_BURNR=ktf.UV_BURNR
WHERE adm.UV_ABC_FALL='A'
) 
SELECT 'SUM_1505_KTF' AS KeyFigureName,
'123456' AS ProcessingRunId, 
'12345' AS WaveId, 
Characteristic, BusinessObjectKey, 
SUM(Value) AS Value 
FROM ZDATA 
GROUP BY Characteristic, BusinessObjectKey
ORDER BY BusinessObjectKey;</v>
      </c>
    </row>
    <row r="622" spans="1:19" x14ac:dyDescent="0.2">
      <c r="A622" s="4">
        <v>1505</v>
      </c>
      <c r="B622" s="3">
        <v>1</v>
      </c>
      <c r="C622" s="3" t="s">
        <v>1151</v>
      </c>
      <c r="D622" s="3" t="s">
        <v>66</v>
      </c>
      <c r="E622" s="3" t="s">
        <v>41</v>
      </c>
      <c r="F622" s="3" t="s">
        <v>1152</v>
      </c>
      <c r="H622" s="3" t="s">
        <v>61</v>
      </c>
      <c r="I622" s="3" t="s">
        <v>21</v>
      </c>
      <c r="J622" s="3" t="s">
        <v>1150</v>
      </c>
      <c r="K622" s="3" t="s">
        <v>1005</v>
      </c>
      <c r="L622" s="3" t="s">
        <v>26</v>
      </c>
      <c r="M622" s="3" t="s">
        <v>68</v>
      </c>
      <c r="N622" s="3" t="s">
        <v>28</v>
      </c>
      <c r="S622" s="3" t="str">
        <f t="shared" si="9"/>
        <v>WITH ZDATA AS
(SELECT NVL(kts.UV_KTR_66,0) AS Value, 
'123' AS BusinessObjectKey, 
CASE WHEN kts.UV_KTR_TYP &lt;&gt; 1 THEN 'KTR_66' ELSE 'OTHER' 
END AS Characteristic
FROM KOSTENTRAEGERSTANDORT kts
) 
SELECT 'SUM_1505_KTS' AS KeyFigureName,
'123456' AS ProcessingRunId, 
'12345' AS WaveId, 
Characteristic, BusinessObjectKey, 
SUM(Value) AS Value 
FROM ZDATA 
GROUP BY Characteristic, BusinessObjectKey
ORDER BY BusinessObjectKey;</v>
      </c>
    </row>
    <row r="623" spans="1:19" x14ac:dyDescent="0.2">
      <c r="A623" s="4">
        <v>1505</v>
      </c>
      <c r="B623" s="3">
        <v>1</v>
      </c>
      <c r="C623" s="3" t="s">
        <v>1153</v>
      </c>
      <c r="D623" s="3" t="s">
        <v>70</v>
      </c>
      <c r="E623" s="3" t="s">
        <v>41</v>
      </c>
      <c r="F623" s="3" t="s">
        <v>1154</v>
      </c>
      <c r="H623" s="3" t="s">
        <v>61</v>
      </c>
      <c r="I623" s="3" t="s">
        <v>21</v>
      </c>
      <c r="J623" s="3" t="s">
        <v>1150</v>
      </c>
      <c r="K623" s="3" t="s">
        <v>1007</v>
      </c>
      <c r="L623" s="3" t="s">
        <v>26</v>
      </c>
      <c r="M623" s="3" t="s">
        <v>72</v>
      </c>
      <c r="N623" s="3" t="s">
        <v>28</v>
      </c>
      <c r="S623" s="3" t="str">
        <f t="shared" si="9"/>
        <v>WITH ZDATA AS
(SELECT NVL(ktu.UV_KTR_66,0) AS Value, 
'123' AS BusinessObjectKey, 
CASE WHEN ktu.UV_KTR_TYP &lt;&gt; 1 THEN 'KTR_66' ELSE 'OTHER' 
END AS Characteristic
FROM KOSTENTRAEGERUNTERNEHMEN ktu
) 
SELECT 'SUM_1505_KTU' AS KeyFigureName,
'123456' AS ProcessingRunId, 
'12345' AS WaveId, 
Characteristic, BusinessObjectKey, 
SUM(Value) AS Value 
FROM ZDATA 
GROUP BY Characteristic, BusinessObjectKey
ORDER BY BusinessObjectKey;</v>
      </c>
    </row>
    <row r="624" spans="1:19" x14ac:dyDescent="0.2">
      <c r="A624" s="4">
        <v>1505</v>
      </c>
      <c r="B624" s="3">
        <v>2</v>
      </c>
      <c r="C624" s="3" t="s">
        <v>1155</v>
      </c>
      <c r="D624" s="3" t="s">
        <v>1156</v>
      </c>
      <c r="E624" s="3" t="s">
        <v>21</v>
      </c>
      <c r="F624" s="3" t="s">
        <v>81</v>
      </c>
      <c r="G624" s="3" t="s">
        <v>40</v>
      </c>
      <c r="I624" s="3" t="s">
        <v>41</v>
      </c>
      <c r="M624" s="3" t="s">
        <v>1157</v>
      </c>
      <c r="N624" s="3" t="s">
        <v>43</v>
      </c>
      <c r="O624" s="3" t="s">
        <v>1158</v>
      </c>
      <c r="S624" s="3" t="str">
        <f t="shared" si="9"/>
        <v>WITH ZDATA AS
(SELECT NVL(kfc.VALUE,0)+NVL(kfc2.VALUE,0)+NVL(kfc3.VALUE,0) AS Value, 
'123' AS BusinessObjectKey, 
kfc.CHARACTERISTIC AS Characteristic
FROM SUM_1505_KTF kfc
JOIN SUM_1505_KTS kfc2 ON kfc.BO_KEY = kfc2.BO_KEY AND kfc.CHARACTERISTIC = kfc2.CHARACTERISTIC JOIN SUM_1505_KTU kfc3 ON kfc.BO_KEY = kfc3.BO_KEY AND kfc.CHARACTERISTIC = kfc3.CHARACTERISTIC
) 
SELECT 'SUM_1505' AS KeyFigureName,
'123456' AS ProcessingRunId, 
'12345' AS WaveId, 
Characteristic, BusinessObjectKey, 
Value AS Value 
FROM ZDATA 
ORDER BY BusinessObjectKey;</v>
      </c>
    </row>
    <row r="625" spans="1:19" x14ac:dyDescent="0.2">
      <c r="A625" s="4">
        <v>1505</v>
      </c>
      <c r="B625" s="3">
        <v>3</v>
      </c>
      <c r="C625" s="3" t="s">
        <v>1159</v>
      </c>
      <c r="D625" s="3" t="s">
        <v>1160</v>
      </c>
      <c r="E625" s="3" t="s">
        <v>21</v>
      </c>
      <c r="F625" s="3" t="s">
        <v>101</v>
      </c>
      <c r="G625" s="3" t="s">
        <v>40</v>
      </c>
      <c r="I625" s="3" t="s">
        <v>41</v>
      </c>
      <c r="M625" s="3" t="s">
        <v>1161</v>
      </c>
      <c r="N625" s="3" t="s">
        <v>43</v>
      </c>
      <c r="O625" s="3" t="s">
        <v>1162</v>
      </c>
      <c r="P625" s="3" t="s">
        <v>55</v>
      </c>
      <c r="S625" s="3" t="str">
        <f t="shared" si="9"/>
        <v>WITH ZDATA AS
(SELECT TRUNC(NVL(kfc.VALUE,0) / NVL(kfc2.VALUE,0),10) AS Value, 
'123' AS BusinessObjectKey, 
kfc.CHARACTERISTIC AS Characteristic
FROM SUM_1505 kfc
JOIN SUM_1480_STUECKRECHNUNG kfc2 ON kfc.BO_KEY = kfc2.BO_KEY AND kfc.CHARACTERISTIC = 'KTR_66' AND kfc2.CHARACTERISTIC = 'ERLOESKONTEN'
WHERE kfc2.VALUE &lt;&gt; 0 AND kfc2.VALUE IS NOT NULL
) 
SELECT 'ANTEIL_1505' AS KeyFigureName,
'123456' AS ProcessingRunId, 
'12345' AS WaveId, 
Characteristic, BusinessObjectKey, 
Value AS Value 
FROM ZDATA 
ORDER BY BusinessObjectKey;</v>
      </c>
    </row>
    <row r="626" spans="1:19" x14ac:dyDescent="0.2">
      <c r="A626" s="4">
        <v>1505</v>
      </c>
      <c r="B626" s="3">
        <v>4</v>
      </c>
      <c r="C626" s="3" t="s">
        <v>1163</v>
      </c>
      <c r="D626" s="3" t="s">
        <v>1164</v>
      </c>
      <c r="E626" s="3" t="s">
        <v>21</v>
      </c>
      <c r="F626" s="3" t="s">
        <v>39</v>
      </c>
      <c r="G626" s="3" t="s">
        <v>40</v>
      </c>
      <c r="I626" s="3" t="s">
        <v>41</v>
      </c>
      <c r="M626" s="3" t="s">
        <v>1165</v>
      </c>
      <c r="N626" s="3" t="s">
        <v>43</v>
      </c>
      <c r="O626" s="3" t="s">
        <v>1166</v>
      </c>
      <c r="S626" s="3" t="str">
        <f t="shared" si="9"/>
        <v>WITH ZDATA AS
(SELECT NVL(kfc.VALUE,0)-NVL(kfc2.VALUE,0) AS Value, 
'123' AS BusinessObjectKey, 
kfc.CHARACTERISTIC AS Characteristic
FROM ANTEIL_1505 kfc
JOIN PDP_ANTEIL_1505 kfc2 ON kfc.BO_KEY = kfc2.BO_KEY AND kfc.CHARACTERISTIC = kfc2.CHARACTERISTIC
) 
SELECT 'VGL_ANTEIL_1505' AS KeyFigureName,
'123456' AS ProcessingRunId, 
'12345' AS WaveId, 
Characteristic, BusinessObjectKey, 
Value AS Value 
FROM ZDATA 
ORDER BY BusinessObjectKey;</v>
      </c>
    </row>
    <row r="627" spans="1:19" x14ac:dyDescent="0.2">
      <c r="A627" s="4">
        <v>1506</v>
      </c>
      <c r="B627" s="3">
        <v>1</v>
      </c>
      <c r="C627" s="3" t="s">
        <v>1167</v>
      </c>
      <c r="D627" s="3" t="s">
        <v>96</v>
      </c>
      <c r="E627" s="3" t="s">
        <v>21</v>
      </c>
      <c r="F627" s="3" t="s">
        <v>1168</v>
      </c>
      <c r="H627" s="3" t="s">
        <v>61</v>
      </c>
      <c r="I627" s="3" t="s">
        <v>21</v>
      </c>
      <c r="J627" s="3" t="s">
        <v>1169</v>
      </c>
      <c r="K627" s="3" t="s">
        <v>589</v>
      </c>
      <c r="L627" s="3" t="s">
        <v>26</v>
      </c>
      <c r="M627" s="3" t="s">
        <v>27</v>
      </c>
      <c r="N627" s="3" t="s">
        <v>28</v>
      </c>
      <c r="O627" s="3" t="s">
        <v>98</v>
      </c>
      <c r="P627" s="3" t="s">
        <v>1003</v>
      </c>
      <c r="S627" s="3" t="str">
        <f t="shared" si="9"/>
        <v>WITH ZDATA AS
(SELECT NVL(ktf.UV_KTR_68,0) AS Value, 
'123' AS BusinessObjectKey, 
CASE WHEN ktf.UV_KTR_TYP=1 THEN 'KTR_68' ELSE 'OTHER' 
END AS Characteristic
FROM ADMINISTRATIVES adm
JOIN KOSTENTRAEGERFALL ktf ON adm.UV_FALL_ID=ktf.UV_FALL_ID AND adm.UV_BURNR=ktf.UV_BURNR
WHERE adm.UV_ABC_FALL='A'
) 
SELECT 'SUM_1506_KTF' AS KeyFigureName,
'123456' AS ProcessingRunId, 
'12345' AS WaveId, 
Characteristic, BusinessObjectKey, 
SUM(Value) AS Value 
FROM ZDATA 
GROUP BY Characteristic, BusinessObjectKey
ORDER BY BusinessObjectKey;</v>
      </c>
    </row>
    <row r="628" spans="1:19" x14ac:dyDescent="0.2">
      <c r="A628" s="4">
        <v>1506</v>
      </c>
      <c r="B628" s="3">
        <v>1</v>
      </c>
      <c r="C628" s="3" t="s">
        <v>1170</v>
      </c>
      <c r="D628" s="3" t="s">
        <v>66</v>
      </c>
      <c r="E628" s="3" t="s">
        <v>41</v>
      </c>
      <c r="F628" s="3" t="s">
        <v>1171</v>
      </c>
      <c r="H628" s="3" t="s">
        <v>61</v>
      </c>
      <c r="I628" s="3" t="s">
        <v>21</v>
      </c>
      <c r="J628" s="3" t="s">
        <v>1169</v>
      </c>
      <c r="K628" s="3" t="s">
        <v>1005</v>
      </c>
      <c r="L628" s="3" t="s">
        <v>26</v>
      </c>
      <c r="M628" s="3" t="s">
        <v>68</v>
      </c>
      <c r="N628" s="3" t="s">
        <v>28</v>
      </c>
      <c r="S628" s="3" t="str">
        <f t="shared" si="9"/>
        <v>WITH ZDATA AS
(SELECT NVL(kts.UV_KTR_68,0) AS Value, 
'123' AS BusinessObjectKey, 
CASE WHEN kts.UV_KTR_TYP &lt;&gt; 1 THEN 'KTR_68' ELSE 'OTHER' 
END AS Characteristic
FROM KOSTENTRAEGERSTANDORT kts
) 
SELECT 'SUM_1506_KTS' AS KeyFigureName,
'123456' AS ProcessingRunId, 
'12345' AS WaveId, 
Characteristic, BusinessObjectKey, 
SUM(Value) AS Value 
FROM ZDATA 
GROUP BY Characteristic, BusinessObjectKey
ORDER BY BusinessObjectKey;</v>
      </c>
    </row>
    <row r="629" spans="1:19" x14ac:dyDescent="0.2">
      <c r="A629" s="4">
        <v>1506</v>
      </c>
      <c r="B629" s="3">
        <v>1</v>
      </c>
      <c r="C629" s="3" t="s">
        <v>1172</v>
      </c>
      <c r="D629" s="3" t="s">
        <v>70</v>
      </c>
      <c r="E629" s="3" t="s">
        <v>41</v>
      </c>
      <c r="F629" s="3" t="s">
        <v>1173</v>
      </c>
      <c r="H629" s="3" t="s">
        <v>61</v>
      </c>
      <c r="I629" s="3" t="s">
        <v>21</v>
      </c>
      <c r="J629" s="3" t="s">
        <v>1169</v>
      </c>
      <c r="K629" s="3" t="s">
        <v>1007</v>
      </c>
      <c r="L629" s="3" t="s">
        <v>26</v>
      </c>
      <c r="M629" s="3" t="s">
        <v>72</v>
      </c>
      <c r="N629" s="3" t="s">
        <v>28</v>
      </c>
      <c r="S629" s="3" t="str">
        <f t="shared" si="9"/>
        <v>WITH ZDATA AS
(SELECT NVL(ktu.UV_KTR_68,0) AS Value, 
'123' AS BusinessObjectKey, 
CASE WHEN ktu.UV_KTR_TYP &lt;&gt; 1 THEN 'KTR_68' ELSE 'OTHER' 
END AS Characteristic
FROM KOSTENTRAEGERUNTERNEHMEN ktu
) 
SELECT 'SUM_1506_KTU' AS KeyFigureName,
'123456' AS ProcessingRunId, 
'12345' AS WaveId, 
Characteristic, BusinessObjectKey, 
SUM(Value) AS Value 
FROM ZDATA 
GROUP BY Characteristic, BusinessObjectKey
ORDER BY BusinessObjectKey;</v>
      </c>
    </row>
    <row r="630" spans="1:19" x14ac:dyDescent="0.2">
      <c r="A630" s="4">
        <v>1506</v>
      </c>
      <c r="B630" s="3">
        <v>2</v>
      </c>
      <c r="C630" s="3" t="s">
        <v>1174</v>
      </c>
      <c r="D630" s="3" t="s">
        <v>1175</v>
      </c>
      <c r="E630" s="3" t="s">
        <v>21</v>
      </c>
      <c r="F630" s="3" t="s">
        <v>81</v>
      </c>
      <c r="G630" s="3" t="s">
        <v>40</v>
      </c>
      <c r="I630" s="3" t="s">
        <v>41</v>
      </c>
      <c r="M630" s="3" t="s">
        <v>1176</v>
      </c>
      <c r="N630" s="3" t="s">
        <v>43</v>
      </c>
      <c r="O630" s="3" t="s">
        <v>1177</v>
      </c>
      <c r="S630" s="3" t="str">
        <f t="shared" si="9"/>
        <v>WITH ZDATA AS
(SELECT NVL(kfc.VALUE,0)+NVL(kfc2.VALUE,0)+NVL(kfc3.VALUE,0) AS Value, 
'123' AS BusinessObjectKey, 
kfc.CHARACTERISTIC AS Characteristic
FROM SUM_1506_KTF kfc
JOIN SUM_1506_KTS kfc2 ON kfc.BO_KEY = kfc2.BO_KEY AND kfc.CHARACTERISTIC = kfc2.CHARACTERISTIC JOIN SUM_1506_KTU kfc3 ON kfc.BO_KEY = kfc3.BO_KEY AND kfc.CHARACTERISTIC = kfc3.CHARACTERISTIC
) 
SELECT 'SUM_1506' AS KeyFigureName,
'123456' AS ProcessingRunId, 
'12345' AS WaveId, 
Characteristic, BusinessObjectKey, 
Value AS Value 
FROM ZDATA 
ORDER BY BusinessObjectKey;</v>
      </c>
    </row>
    <row r="631" spans="1:19" x14ac:dyDescent="0.2">
      <c r="A631" s="4">
        <v>1506</v>
      </c>
      <c r="B631" s="3">
        <v>3</v>
      </c>
      <c r="C631" s="3" t="s">
        <v>1178</v>
      </c>
      <c r="D631" s="3" t="s">
        <v>1179</v>
      </c>
      <c r="E631" s="3" t="s">
        <v>21</v>
      </c>
      <c r="F631" s="3" t="s">
        <v>101</v>
      </c>
      <c r="G631" s="3" t="s">
        <v>40</v>
      </c>
      <c r="I631" s="3" t="s">
        <v>41</v>
      </c>
      <c r="M631" s="3" t="s">
        <v>1180</v>
      </c>
      <c r="N631" s="3" t="s">
        <v>43</v>
      </c>
      <c r="O631" s="3" t="s">
        <v>1181</v>
      </c>
      <c r="P631" s="3" t="s">
        <v>55</v>
      </c>
      <c r="S631" s="3" t="str">
        <f t="shared" si="9"/>
        <v>WITH ZDATA AS
(SELECT TRUNC(NVL(kfc.VALUE,0) / NVL(kfc2.VALUE,0),10) AS Value, 
'123' AS BusinessObjectKey, 
kfc.CHARACTERISTIC AS Characteristic
FROM SUM_1506 kfc
JOIN SUM_1480_STUECKRECHNUNG kfc2 ON kfc.BO_KEY = kfc2.BO_KEY AND kfc.CHARACTERISTIC = 'KTR_68' AND kfc2.CHARACTERISTIC = 'ERLOESKONTEN'
WHERE kfc2.VALUE &lt;&gt; 0 AND kfc2.VALUE IS NOT NULL
) 
SELECT 'ANTEIL_1506' AS KeyFigureName,
'123456' AS ProcessingRunId, 
'12345' AS WaveId, 
Characteristic, BusinessObjectKey, 
Value AS Value 
FROM ZDATA 
ORDER BY BusinessObjectKey;</v>
      </c>
    </row>
    <row r="632" spans="1:19" x14ac:dyDescent="0.2">
      <c r="A632" s="4">
        <v>1506</v>
      </c>
      <c r="B632" s="3">
        <v>4</v>
      </c>
      <c r="C632" s="3" t="s">
        <v>1182</v>
      </c>
      <c r="D632" s="3" t="s">
        <v>1183</v>
      </c>
      <c r="E632" s="3" t="s">
        <v>21</v>
      </c>
      <c r="F632" s="3" t="s">
        <v>39</v>
      </c>
      <c r="G632" s="3" t="s">
        <v>40</v>
      </c>
      <c r="I632" s="3" t="s">
        <v>41</v>
      </c>
      <c r="M632" s="3" t="s">
        <v>1184</v>
      </c>
      <c r="N632" s="3" t="s">
        <v>43</v>
      </c>
      <c r="O632" s="3" t="s">
        <v>1185</v>
      </c>
      <c r="S632" s="3" t="str">
        <f t="shared" si="9"/>
        <v>WITH ZDATA AS
(SELECT NVL(kfc.VALUE,0)-NVL(kfc2.VALUE,0) AS Value, 
'123' AS BusinessObjectKey, 
kfc.CHARACTERISTIC AS Characteristic
FROM ANTEIL_1506 kfc
JOIN PDP_ANTEIL_1506 kfc2 ON kfc.BO_KEY = kfc2.BO_KEY AND kfc.CHARACTERISTIC = kfc2.CHARACTERISTIC
) 
SELECT 'VGL_ANTEIL_1506' AS KeyFigureName,
'123456' AS ProcessingRunId, 
'12345' AS WaveId, 
Characteristic, BusinessObjectKey, 
Value AS Value 
FROM ZDATA 
ORDER BY BusinessObjectKey;</v>
      </c>
    </row>
    <row r="633" spans="1:19" x14ac:dyDescent="0.2">
      <c r="A633" s="4">
        <v>1507</v>
      </c>
      <c r="B633" s="3">
        <v>1</v>
      </c>
      <c r="C633" s="3" t="s">
        <v>1186</v>
      </c>
      <c r="D633" s="3" t="s">
        <v>898</v>
      </c>
      <c r="E633" s="3" t="s">
        <v>21</v>
      </c>
      <c r="F633" s="3" t="s">
        <v>1187</v>
      </c>
      <c r="H633" s="3" t="s">
        <v>61</v>
      </c>
      <c r="I633" s="3" t="s">
        <v>21</v>
      </c>
      <c r="J633" s="3" t="s">
        <v>1131</v>
      </c>
      <c r="K633" s="3" t="s">
        <v>1188</v>
      </c>
      <c r="L633" s="3" t="s">
        <v>26</v>
      </c>
      <c r="M633" s="3" t="s">
        <v>27</v>
      </c>
      <c r="N633" s="3" t="s">
        <v>28</v>
      </c>
      <c r="O633" s="3" t="s">
        <v>902</v>
      </c>
      <c r="P633" s="3" t="s">
        <v>903</v>
      </c>
      <c r="S633" s="3" t="str">
        <f t="shared" si="9"/>
        <v>WITH ZDATA AS
(SELECT NVL(pdp.UV_KTR_65,0) AS Value, 
'123' AS BusinessObjectKey, 
CASE WHEN pdp.UV_KTR_TYP=1 THEN 'KTR_65' ELSE 'OTHER' 
END AS Characteristic
FROM ADMINISTRATIVES adm
JOIN PDP_KOSTENTRAEGERFALL pdp ON adm.UV_FALL_ID=pdp.UV_FALL_ID
WHERE adm.UV_ABC_FALL IN ('B','C')
) 
SELECT 'SUM_1507_KTF_ABZUG' AS KeyFigureName,
'123456' AS ProcessingRunId, 
'12345' AS WaveId, 
Characteristic, BusinessObjectKey, 
SUM(Value) AS Value 
FROM ZDATA 
GROUP BY Characteristic, BusinessObjectKey
ORDER BY BusinessObjectKey;</v>
      </c>
    </row>
    <row r="634" spans="1:19" x14ac:dyDescent="0.2">
      <c r="A634" s="4">
        <v>1507</v>
      </c>
      <c r="B634" s="3">
        <v>1</v>
      </c>
      <c r="C634" s="3" t="s">
        <v>1189</v>
      </c>
      <c r="D634" s="3" t="s">
        <v>59</v>
      </c>
      <c r="E634" s="3" t="s">
        <v>21</v>
      </c>
      <c r="F634" s="3" t="s">
        <v>1130</v>
      </c>
      <c r="H634" s="3" t="s">
        <v>61</v>
      </c>
      <c r="I634" s="3" t="s">
        <v>21</v>
      </c>
      <c r="J634" s="3" t="s">
        <v>1131</v>
      </c>
      <c r="K634" s="3" t="s">
        <v>589</v>
      </c>
      <c r="L634" s="3" t="s">
        <v>26</v>
      </c>
      <c r="M634" s="3" t="s">
        <v>64</v>
      </c>
      <c r="N634" s="3" t="s">
        <v>28</v>
      </c>
      <c r="S634" s="3" t="str">
        <f t="shared" si="9"/>
        <v>WITH ZDATA AS
(SELECT NVL(ktf.UV_KTR_65,0) AS Value, 
'123' AS BusinessObjectKey, 
CASE WHEN ktf.UV_KTR_TYP=1 THEN 'KTR_65' ELSE 'OTHER' 
END AS Characteristic
FROM KOSTENTRAEGERFALL ktf
) 
SELECT 'SUM_1507_KTF_VOR_ABZUG' AS KeyFigureName,
'123456' AS ProcessingRunId, 
'12345' AS WaveId, 
Characteristic, BusinessObjectKey, 
SUM(Value) AS Value 
FROM ZDATA 
GROUP BY Characteristic, BusinessObjectKey
ORDER BY BusinessObjectKey;</v>
      </c>
    </row>
    <row r="635" spans="1:19" x14ac:dyDescent="0.2">
      <c r="A635" s="4">
        <v>1507</v>
      </c>
      <c r="B635" s="3">
        <v>2</v>
      </c>
      <c r="C635" s="3" t="s">
        <v>1190</v>
      </c>
      <c r="D635" s="3" t="s">
        <v>1191</v>
      </c>
      <c r="E635" s="3" t="s">
        <v>21</v>
      </c>
      <c r="F635" s="3" t="s">
        <v>39</v>
      </c>
      <c r="G635" s="3" t="s">
        <v>40</v>
      </c>
      <c r="I635" s="3" t="s">
        <v>41</v>
      </c>
      <c r="M635" s="3" t="s">
        <v>1192</v>
      </c>
      <c r="N635" s="3" t="s">
        <v>43</v>
      </c>
      <c r="O635" s="3" t="s">
        <v>1193</v>
      </c>
      <c r="S635" s="3" t="str">
        <f t="shared" si="9"/>
        <v>WITH ZDATA AS
(SELECT NVL(kfc.VALUE,0)-NVL(kfc2.VALUE,0) AS Value, 
'123' AS BusinessObjectKey, 
kfc.CHARACTERISTIC AS Characteristic
FROM SUM_1507_KTF_VOR_ABZUG kfc
JOIN SUM_1507_KTF_ABZUG kfc2 ON kfc.BO_KEY = kfc2.BO_KEY AND kfc.CHARACTERISTIC = 'KTR_65' AND kfc2.CHARACTERISTIC = 'KTR_65'
) 
SELECT 'SUM_1507_KTF' AS KeyFigureName,
'123456' AS ProcessingRunId, 
'12345' AS WaveId, 
Characteristic, BusinessObjectKey, 
Value AS Value 
FROM ZDATA 
ORDER BY BusinessObjectKey;</v>
      </c>
    </row>
    <row r="636" spans="1:19" x14ac:dyDescent="0.2">
      <c r="A636" s="4">
        <v>1507</v>
      </c>
      <c r="B636" s="3">
        <v>3</v>
      </c>
      <c r="C636" s="3" t="s">
        <v>1194</v>
      </c>
      <c r="D636" s="3" t="s">
        <v>1195</v>
      </c>
      <c r="E636" s="3" t="s">
        <v>21</v>
      </c>
      <c r="F636" s="3" t="s">
        <v>1196</v>
      </c>
      <c r="G636" s="3" t="s">
        <v>40</v>
      </c>
      <c r="I636" s="3" t="s">
        <v>41</v>
      </c>
      <c r="M636" s="3" t="s">
        <v>1197</v>
      </c>
      <c r="N636" s="3" t="s">
        <v>43</v>
      </c>
      <c r="O636" s="3" t="s">
        <v>1198</v>
      </c>
      <c r="S636" s="3" t="str">
        <f t="shared" si="9"/>
        <v>WITH ZDATA AS
(SELECT NVL(kfc.VALUE,0)+NVL(kfc2.VALUE,0) AS Value, 
'123' AS BusinessObjectKey, 
kfc.CHARACTERISTIC AS Characteristic
FROM SUM_1507_KTF kfc
JOIN SUM_1504_KTS kfc2 ON kfc.BO_KEY = kfc2.BO_KEY AND kfc.CHARACTERISTIC = 'KTR_65' AND kfc2.CHARACTERISTIC = 'KTR_65'
) 
SELECT 'SUM_1507' AS KeyFigureName,
'123456' AS ProcessingRunId, 
'12345' AS WaveId, 
Characteristic, BusinessObjectKey, 
Value AS Value 
FROM ZDATA 
ORDER BY BusinessObjectKey;</v>
      </c>
    </row>
    <row r="637" spans="1:19" x14ac:dyDescent="0.2">
      <c r="A637" s="4">
        <v>1507</v>
      </c>
      <c r="B637" s="3">
        <v>4</v>
      </c>
      <c r="C637" s="3" t="s">
        <v>1199</v>
      </c>
      <c r="D637" s="3" t="s">
        <v>1200</v>
      </c>
      <c r="E637" s="3" t="s">
        <v>21</v>
      </c>
      <c r="F637" s="3" t="s">
        <v>101</v>
      </c>
      <c r="G637" s="3" t="s">
        <v>40</v>
      </c>
      <c r="I637" s="3" t="s">
        <v>41</v>
      </c>
      <c r="M637" s="3" t="s">
        <v>1201</v>
      </c>
      <c r="N637" s="3" t="s">
        <v>43</v>
      </c>
      <c r="O637" s="3" t="s">
        <v>1202</v>
      </c>
      <c r="P637" s="3" t="s">
        <v>55</v>
      </c>
      <c r="S637" s="3" t="str">
        <f t="shared" si="9"/>
        <v>WITH ZDATA AS
(SELECT TRUNC(NVL(kfc.VALUE,0) / NVL(kfc2.VALUE,0),10) AS Value, 
'123' AS BusinessObjectKey, 
kfc.CHARACTERISTIC AS Characteristic
FROM SUM_1507 kfc
JOIN SUM_1480 kfc2 ON kfc.BO_KEY = kfc2.BO_KEY AND kfc.CHARACTERISTIC = 'KTR_65' AND kfc2.CHARACTERISTIC = 'TOTAL'
WHERE kfc2.VALUE &lt;&gt; 0 AND kfc2.VALUE IS NOT NULL
) 
SELECT 'ANTEIL_1507' AS KeyFigureName,
'123456' AS ProcessingRunId, 
'12345' AS WaveId, 
Characteristic, BusinessObjectKey, 
Value AS Value 
FROM ZDATA 
ORDER BY BusinessObjectKey;</v>
      </c>
    </row>
    <row r="638" spans="1:19" x14ac:dyDescent="0.2">
      <c r="A638" s="4">
        <v>1507</v>
      </c>
      <c r="B638" s="3">
        <v>5</v>
      </c>
      <c r="C638" s="3" t="s">
        <v>1203</v>
      </c>
      <c r="D638" s="3" t="s">
        <v>1204</v>
      </c>
      <c r="E638" s="3" t="s">
        <v>21</v>
      </c>
      <c r="F638" s="3" t="s">
        <v>39</v>
      </c>
      <c r="G638" s="3" t="s">
        <v>40</v>
      </c>
      <c r="I638" s="3" t="s">
        <v>41</v>
      </c>
      <c r="M638" s="3" t="s">
        <v>1205</v>
      </c>
      <c r="N638" s="3" t="s">
        <v>43</v>
      </c>
      <c r="O638" s="3" t="s">
        <v>1206</v>
      </c>
      <c r="S638" s="3" t="str">
        <f t="shared" si="9"/>
        <v>WITH ZDATA AS
(SELECT NVL(kfc.VALUE,0)-NVL(kfc2.VALUE,0) AS Value, 
'123' AS BusinessObjectKey, 
kfc.CHARACTERISTIC AS Characteristic
FROM ANTEIL_1507 kfc
JOIN PDP_ANTEIL_1507 kfc2 ON kfc.BO_KEY = kfc2.BO_KEY AND kfc.CHARACTERISTIC = kfc2.CHARACTERISTIC
) 
SELECT 'VGL_ANTEIL_1507' AS KeyFigureName,
'123456' AS ProcessingRunId, 
'12345' AS WaveId, 
Characteristic, BusinessObjectKey, 
Value AS Value 
FROM ZDATA 
ORDER BY BusinessObjectKey;</v>
      </c>
    </row>
    <row r="639" spans="1:19" x14ac:dyDescent="0.2">
      <c r="A639" s="4">
        <v>1508</v>
      </c>
      <c r="B639" s="3">
        <v>1</v>
      </c>
      <c r="C639" s="3" t="s">
        <v>1207</v>
      </c>
      <c r="D639" s="3" t="s">
        <v>898</v>
      </c>
      <c r="E639" s="3" t="s">
        <v>21</v>
      </c>
      <c r="F639" s="3" t="s">
        <v>1208</v>
      </c>
      <c r="H639" s="3" t="s">
        <v>61</v>
      </c>
      <c r="I639" s="3" t="s">
        <v>21</v>
      </c>
      <c r="J639" s="3" t="s">
        <v>1150</v>
      </c>
      <c r="K639" s="3" t="s">
        <v>1188</v>
      </c>
      <c r="L639" s="3" t="s">
        <v>26</v>
      </c>
      <c r="M639" s="3" t="s">
        <v>27</v>
      </c>
      <c r="N639" s="3" t="s">
        <v>28</v>
      </c>
      <c r="O639" s="3" t="s">
        <v>902</v>
      </c>
      <c r="P639" s="3" t="s">
        <v>903</v>
      </c>
      <c r="S639" s="3" t="str">
        <f t="shared" si="9"/>
        <v>WITH ZDATA AS
(SELECT NVL(pdp.UV_KTR_66,0) AS Value, 
'123' AS BusinessObjectKey, 
CASE WHEN pdp.UV_KTR_TYP=1 THEN 'KTR_66' ELSE 'OTHER' 
END AS Characteristic
FROM ADMINISTRATIVES adm
JOIN PDP_KOSTENTRAEGERFALL pdp ON adm.UV_FALL_ID=pdp.UV_FALL_ID
WHERE adm.UV_ABC_FALL IN ('B','C')
) 
SELECT 'SUM_1508_KTF_ABZUG' AS KeyFigureName,
'123456' AS ProcessingRunId, 
'12345' AS WaveId, 
Characteristic, BusinessObjectKey, 
SUM(Value) AS Value 
FROM ZDATA 
GROUP BY Characteristic, BusinessObjectKey
ORDER BY BusinessObjectKey;</v>
      </c>
    </row>
    <row r="640" spans="1:19" x14ac:dyDescent="0.2">
      <c r="A640" s="4">
        <v>1508</v>
      </c>
      <c r="B640" s="3">
        <v>1</v>
      </c>
      <c r="C640" s="3" t="s">
        <v>1209</v>
      </c>
      <c r="D640" s="3" t="s">
        <v>59</v>
      </c>
      <c r="E640" s="3" t="s">
        <v>21</v>
      </c>
      <c r="F640" s="3" t="s">
        <v>1149</v>
      </c>
      <c r="H640" s="3" t="s">
        <v>61</v>
      </c>
      <c r="I640" s="3" t="s">
        <v>21</v>
      </c>
      <c r="J640" s="3" t="s">
        <v>1150</v>
      </c>
      <c r="K640" s="3" t="s">
        <v>589</v>
      </c>
      <c r="L640" s="3" t="s">
        <v>26</v>
      </c>
      <c r="M640" s="3" t="s">
        <v>64</v>
      </c>
      <c r="N640" s="3" t="s">
        <v>28</v>
      </c>
      <c r="S640" s="3" t="str">
        <f t="shared" si="9"/>
        <v>WITH ZDATA AS
(SELECT NVL(ktf.UV_KTR_66,0) AS Value, 
'123' AS BusinessObjectKey, 
CASE WHEN ktf.UV_KTR_TYP=1 THEN 'KTR_66' ELSE 'OTHER' 
END AS Characteristic
FROM KOSTENTRAEGERFALL ktf
) 
SELECT 'SUM_1508_KTF_VOR_ABZUG' AS KeyFigureName,
'123456' AS ProcessingRunId, 
'12345' AS WaveId, 
Characteristic, BusinessObjectKey, 
SUM(Value) AS Value 
FROM ZDATA 
GROUP BY Characteristic, BusinessObjectKey
ORDER BY BusinessObjectKey;</v>
      </c>
    </row>
    <row r="641" spans="1:19" x14ac:dyDescent="0.2">
      <c r="A641" s="4">
        <v>1508</v>
      </c>
      <c r="B641" s="3">
        <v>2</v>
      </c>
      <c r="C641" s="3" t="s">
        <v>1210</v>
      </c>
      <c r="D641" s="3" t="s">
        <v>1211</v>
      </c>
      <c r="E641" s="3" t="s">
        <v>21</v>
      </c>
      <c r="F641" s="3" t="s">
        <v>39</v>
      </c>
      <c r="G641" s="3" t="s">
        <v>40</v>
      </c>
      <c r="I641" s="3" t="s">
        <v>41</v>
      </c>
      <c r="M641" s="3" t="s">
        <v>1212</v>
      </c>
      <c r="N641" s="3" t="s">
        <v>43</v>
      </c>
      <c r="O641" s="3" t="s">
        <v>1213</v>
      </c>
      <c r="S641" s="3" t="str">
        <f t="shared" si="9"/>
        <v>WITH ZDATA AS
(SELECT NVL(kfc.VALUE,0)-NVL(kfc2.VALUE,0) AS Value, 
'123' AS BusinessObjectKey, 
kfc.CHARACTERISTIC AS Characteristic
FROM SUM_1508_KTF_VOR_ABZUG kfc
JOIN SUM_1508_KTF_ABZUG kfc2 ON kfc.BO_KEY = kfc2.BO_KEY AND kfc.CHARACTERISTIC = 'KTR_66' AND kfc2.CHARACTERISTIC = 'KTR_66'
) 
SELECT 'SUM_1508_KTF' AS KeyFigureName,
'123456' AS ProcessingRunId, 
'12345' AS WaveId, 
Characteristic, BusinessObjectKey, 
Value AS Value 
FROM ZDATA 
ORDER BY BusinessObjectKey;</v>
      </c>
    </row>
    <row r="642" spans="1:19" x14ac:dyDescent="0.2">
      <c r="A642" s="4">
        <v>1508</v>
      </c>
      <c r="B642" s="3">
        <v>3</v>
      </c>
      <c r="C642" s="3" t="s">
        <v>1214</v>
      </c>
      <c r="D642" s="3" t="s">
        <v>1215</v>
      </c>
      <c r="E642" s="3" t="s">
        <v>21</v>
      </c>
      <c r="F642" s="3" t="s">
        <v>1196</v>
      </c>
      <c r="G642" s="3" t="s">
        <v>40</v>
      </c>
      <c r="I642" s="3" t="s">
        <v>41</v>
      </c>
      <c r="M642" s="3" t="s">
        <v>1216</v>
      </c>
      <c r="N642" s="3" t="s">
        <v>43</v>
      </c>
      <c r="O642" s="3" t="s">
        <v>1217</v>
      </c>
      <c r="S642" s="3" t="str">
        <f t="shared" si="9"/>
        <v>WITH ZDATA AS
(SELECT NVL(kfc.VALUE,0)+NVL(kfc2.VALUE,0) AS Value, 
'123' AS BusinessObjectKey, 
kfc.CHARACTERISTIC AS Characteristic
FROM SUM_1508_KTF kfc
JOIN SUM_1505_KTS kfc2 ON kfc.BO_KEY = kfc2.BO_KEY AND kfc.CHARACTERISTIC = 'KTR_66' AND kfc2.CHARACTERISTIC = 'KTR_66'
) 
SELECT 'SUM_1508' AS KeyFigureName,
'123456' AS ProcessingRunId, 
'12345' AS WaveId, 
Characteristic, BusinessObjectKey, 
Value AS Value 
FROM ZDATA 
ORDER BY BusinessObjectKey;</v>
      </c>
    </row>
    <row r="643" spans="1:19" x14ac:dyDescent="0.2">
      <c r="A643" s="4">
        <v>1508</v>
      </c>
      <c r="B643" s="3">
        <v>4</v>
      </c>
      <c r="C643" s="3" t="s">
        <v>1218</v>
      </c>
      <c r="D643" s="3" t="s">
        <v>1219</v>
      </c>
      <c r="E643" s="3" t="s">
        <v>21</v>
      </c>
      <c r="F643" s="3" t="s">
        <v>101</v>
      </c>
      <c r="G643" s="3" t="s">
        <v>40</v>
      </c>
      <c r="I643" s="3" t="s">
        <v>41</v>
      </c>
      <c r="M643" s="3" t="s">
        <v>1220</v>
      </c>
      <c r="N643" s="3" t="s">
        <v>43</v>
      </c>
      <c r="O643" s="3" t="s">
        <v>1221</v>
      </c>
      <c r="P643" s="3" t="s">
        <v>55</v>
      </c>
      <c r="S643" s="3" t="str">
        <f t="shared" si="9"/>
        <v>WITH ZDATA AS
(SELECT TRUNC(NVL(kfc.VALUE,0) / NVL(kfc2.VALUE,0),10) AS Value, 
'123' AS BusinessObjectKey, 
kfc.CHARACTERISTIC AS Characteristic
FROM SUM_1508 kfc
JOIN SUM_1480 kfc2 ON kfc.BO_KEY = kfc2.BO_KEY AND kfc.CHARACTERISTIC = 'KTR_66' AND kfc2.CHARACTERISTIC = 'TOTAL'
WHERE kfc2.VALUE &lt;&gt; 0 AND kfc2.VALUE IS NOT NULL
) 
SELECT 'ANTEIL_1508' AS KeyFigureName,
'123456' AS ProcessingRunId, 
'12345' AS WaveId, 
Characteristic, BusinessObjectKey, 
Value AS Value 
FROM ZDATA 
ORDER BY BusinessObjectKey;</v>
      </c>
    </row>
    <row r="644" spans="1:19" x14ac:dyDescent="0.2">
      <c r="A644" s="4">
        <v>1508</v>
      </c>
      <c r="B644" s="3">
        <v>5</v>
      </c>
      <c r="C644" s="3" t="s">
        <v>1222</v>
      </c>
      <c r="D644" s="3" t="s">
        <v>1223</v>
      </c>
      <c r="E644" s="3" t="s">
        <v>21</v>
      </c>
      <c r="F644" s="3" t="s">
        <v>39</v>
      </c>
      <c r="G644" s="3" t="s">
        <v>40</v>
      </c>
      <c r="I644" s="3" t="s">
        <v>41</v>
      </c>
      <c r="M644" s="3" t="s">
        <v>1224</v>
      </c>
      <c r="N644" s="3" t="s">
        <v>43</v>
      </c>
      <c r="O644" s="3" t="s">
        <v>1225</v>
      </c>
      <c r="S644" s="3" t="str">
        <f t="shared" ref="S644:S707" si="10">IF(F644="","","WITH ZDATA AS
(SELECT "&amp;F644&amp;" AS Value, 
'123' AS BusinessObjectKey, 
"&amp;IF(I644="False","CASE WHEN "&amp;K644&amp;" THEN '"&amp;J644&amp;"' ELSE '"&amp;L644&amp;"' 
END AS Characteristic",G644)&amp;"
FROM "&amp;M644&amp;"
"&amp;O644&amp;"
"&amp;IF(P644="","", "WHERE "&amp;P644)&amp;"
"&amp;IF(Q644="","", "GROUP BY "&amp;Q644)&amp;"
"&amp;IF(R644="","", "HAVING "&amp;R644)&amp;"
) 
SELECT '"&amp;C644&amp;"' AS KeyFigureName,
'123456' AS ProcessingRunId, 
'12345' AS WaveId, 
Characteristic, BusinessObjectKey, 
"&amp;IF(H644="","Value",H644)&amp;" AS Value 
FROM ZDATA 
"&amp;IF(I644="False","GROUP BY Characteristic, BusinessObjectKey","")&amp;"
ORDER BY BusinessObjectKey;")</f>
        <v>WITH ZDATA AS
(SELECT NVL(kfc.VALUE,0)-NVL(kfc2.VALUE,0) AS Value, 
'123' AS BusinessObjectKey, 
kfc.CHARACTERISTIC AS Characteristic
FROM ANTEIL_1508 kfc
JOIN PDP_ANTEIL_1508 kfc2 ON kfc.BO_KEY = kfc2.BO_KEY AND kfc.CHARACTERISTIC = kfc2.CHARACTERISTIC
) 
SELECT 'VGL_ANTEIL_1508' AS KeyFigureName,
'123456' AS ProcessingRunId, 
'12345' AS WaveId, 
Characteristic, BusinessObjectKey, 
Value AS Value 
FROM ZDATA 
ORDER BY BusinessObjectKey;</v>
      </c>
    </row>
    <row r="645" spans="1:19" x14ac:dyDescent="0.2">
      <c r="A645" s="4">
        <v>1509</v>
      </c>
      <c r="B645" s="3">
        <v>1</v>
      </c>
      <c r="C645" s="3" t="s">
        <v>1226</v>
      </c>
      <c r="D645" s="3" t="s">
        <v>898</v>
      </c>
      <c r="E645" s="3" t="s">
        <v>21</v>
      </c>
      <c r="F645" s="3" t="s">
        <v>1227</v>
      </c>
      <c r="H645" s="3" t="s">
        <v>61</v>
      </c>
      <c r="I645" s="3" t="s">
        <v>21</v>
      </c>
      <c r="J645" s="3" t="s">
        <v>1169</v>
      </c>
      <c r="K645" s="3" t="s">
        <v>1188</v>
      </c>
      <c r="L645" s="3" t="s">
        <v>26</v>
      </c>
      <c r="M645" s="3" t="s">
        <v>27</v>
      </c>
      <c r="N645" s="3" t="s">
        <v>28</v>
      </c>
      <c r="O645" s="3" t="s">
        <v>902</v>
      </c>
      <c r="P645" s="3" t="s">
        <v>903</v>
      </c>
      <c r="S645" s="3" t="str">
        <f t="shared" si="10"/>
        <v>WITH ZDATA AS
(SELECT NVL(pdp.UV_KTR_68,0) AS Value, 
'123' AS BusinessObjectKey, 
CASE WHEN pdp.UV_KTR_TYP=1 THEN 'KTR_68' ELSE 'OTHER' 
END AS Characteristic
FROM ADMINISTRATIVES adm
JOIN PDP_KOSTENTRAEGERFALL pdp ON adm.UV_FALL_ID=pdp.UV_FALL_ID
WHERE adm.UV_ABC_FALL IN ('B','C')
) 
SELECT 'SUM_1509_KTF_ABZUG' AS KeyFigureName,
'123456' AS ProcessingRunId, 
'12345' AS WaveId, 
Characteristic, BusinessObjectKey, 
SUM(Value) AS Value 
FROM ZDATA 
GROUP BY Characteristic, BusinessObjectKey
ORDER BY BusinessObjectKey;</v>
      </c>
    </row>
    <row r="646" spans="1:19" x14ac:dyDescent="0.2">
      <c r="A646" s="4">
        <v>1509</v>
      </c>
      <c r="B646" s="3">
        <v>1</v>
      </c>
      <c r="C646" s="3" t="s">
        <v>1228</v>
      </c>
      <c r="D646" s="3" t="s">
        <v>59</v>
      </c>
      <c r="E646" s="3" t="s">
        <v>21</v>
      </c>
      <c r="F646" s="3" t="s">
        <v>1168</v>
      </c>
      <c r="H646" s="3" t="s">
        <v>61</v>
      </c>
      <c r="I646" s="3" t="s">
        <v>21</v>
      </c>
      <c r="J646" s="3" t="s">
        <v>1169</v>
      </c>
      <c r="K646" s="3" t="s">
        <v>589</v>
      </c>
      <c r="L646" s="3" t="s">
        <v>26</v>
      </c>
      <c r="M646" s="3" t="s">
        <v>64</v>
      </c>
      <c r="N646" s="3" t="s">
        <v>28</v>
      </c>
      <c r="S646" s="3" t="str">
        <f t="shared" si="10"/>
        <v>WITH ZDATA AS
(SELECT NVL(ktf.UV_KTR_68,0) AS Value, 
'123' AS BusinessObjectKey, 
CASE WHEN ktf.UV_KTR_TYP=1 THEN 'KTR_68' ELSE 'OTHER' 
END AS Characteristic
FROM KOSTENTRAEGERFALL ktf
) 
SELECT 'SUM_1509_KTF_VOR_ABZUG' AS KeyFigureName,
'123456' AS ProcessingRunId, 
'12345' AS WaveId, 
Characteristic, BusinessObjectKey, 
SUM(Value) AS Value 
FROM ZDATA 
GROUP BY Characteristic, BusinessObjectKey
ORDER BY BusinessObjectKey;</v>
      </c>
    </row>
    <row r="647" spans="1:19" x14ac:dyDescent="0.2">
      <c r="A647" s="4">
        <v>1509</v>
      </c>
      <c r="B647" s="3">
        <v>2</v>
      </c>
      <c r="C647" s="3" t="s">
        <v>1229</v>
      </c>
      <c r="D647" s="3" t="s">
        <v>1230</v>
      </c>
      <c r="E647" s="3" t="s">
        <v>21</v>
      </c>
      <c r="F647" s="3" t="s">
        <v>39</v>
      </c>
      <c r="G647" s="3" t="s">
        <v>40</v>
      </c>
      <c r="I647" s="3" t="s">
        <v>41</v>
      </c>
      <c r="M647" s="3" t="s">
        <v>1231</v>
      </c>
      <c r="N647" s="3" t="s">
        <v>43</v>
      </c>
      <c r="O647" s="3" t="s">
        <v>1232</v>
      </c>
      <c r="S647" s="3" t="str">
        <f t="shared" si="10"/>
        <v>WITH ZDATA AS
(SELECT NVL(kfc.VALUE,0)-NVL(kfc2.VALUE,0) AS Value, 
'123' AS BusinessObjectKey, 
kfc.CHARACTERISTIC AS Characteristic
FROM SUM_1509_KTF_VOR_ABZUG kfc
JOIN SUM_1509_KTF_ABZUG kfc2 ON kfc.BO_KEY = kfc2.BO_KEY AND kfc.CHARACTERISTIC = 'KTR_68' AND kfc2.CHARACTERISTIC = 'KTR_68'
) 
SELECT 'SUM_1509_KTF' AS KeyFigureName,
'123456' AS ProcessingRunId, 
'12345' AS WaveId, 
Characteristic, BusinessObjectKey, 
Value AS Value 
FROM ZDATA 
ORDER BY BusinessObjectKey;</v>
      </c>
    </row>
    <row r="648" spans="1:19" x14ac:dyDescent="0.2">
      <c r="A648" s="4">
        <v>1509</v>
      </c>
      <c r="B648" s="3">
        <v>3</v>
      </c>
      <c r="C648" s="3" t="s">
        <v>1233</v>
      </c>
      <c r="D648" s="3" t="s">
        <v>1234</v>
      </c>
      <c r="E648" s="3" t="s">
        <v>21</v>
      </c>
      <c r="F648" s="3" t="s">
        <v>1196</v>
      </c>
      <c r="G648" s="3" t="s">
        <v>40</v>
      </c>
      <c r="I648" s="3" t="s">
        <v>41</v>
      </c>
      <c r="M648" s="3" t="s">
        <v>1235</v>
      </c>
      <c r="N648" s="3" t="s">
        <v>43</v>
      </c>
      <c r="O648" s="3" t="s">
        <v>1236</v>
      </c>
      <c r="S648" s="3" t="str">
        <f t="shared" si="10"/>
        <v>WITH ZDATA AS
(SELECT NVL(kfc.VALUE,0)+NVL(kfc2.VALUE,0) AS Value, 
'123' AS BusinessObjectKey, 
kfc.CHARACTERISTIC AS Characteristic
FROM SUM_1509_KTF kfc
JOIN SUM_1506_KTS kfc2 ON kfc.BO_KEY = kfc2.BO_KEY AND kfc.CHARACTERISTIC = 'KTR_68' AND kfc2.CHARACTERISTIC = 'KTR_68'
) 
SELECT 'SUM_1509' AS KeyFigureName,
'123456' AS ProcessingRunId, 
'12345' AS WaveId, 
Characteristic, BusinessObjectKey, 
Value AS Value 
FROM ZDATA 
ORDER BY BusinessObjectKey;</v>
      </c>
    </row>
    <row r="649" spans="1:19" x14ac:dyDescent="0.2">
      <c r="A649" s="4">
        <v>1509</v>
      </c>
      <c r="B649" s="3">
        <v>4</v>
      </c>
      <c r="C649" s="3" t="s">
        <v>1237</v>
      </c>
      <c r="D649" s="3" t="s">
        <v>1238</v>
      </c>
      <c r="E649" s="3" t="s">
        <v>21</v>
      </c>
      <c r="F649" s="3" t="s">
        <v>101</v>
      </c>
      <c r="G649" s="3" t="s">
        <v>40</v>
      </c>
      <c r="I649" s="3" t="s">
        <v>41</v>
      </c>
      <c r="M649" s="3" t="s">
        <v>1239</v>
      </c>
      <c r="N649" s="3" t="s">
        <v>43</v>
      </c>
      <c r="O649" s="3" t="s">
        <v>1240</v>
      </c>
      <c r="P649" s="3" t="s">
        <v>55</v>
      </c>
      <c r="S649" s="3" t="str">
        <f t="shared" si="10"/>
        <v>WITH ZDATA AS
(SELECT TRUNC(NVL(kfc.VALUE,0) / NVL(kfc2.VALUE,0),10) AS Value, 
'123' AS BusinessObjectKey, 
kfc.CHARACTERISTIC AS Characteristic
FROM SUM_1509 kfc
JOIN SUM_1480 kfc2 ON kfc.BO_KEY = kfc2.BO_KEY AND kfc.CHARACTERISTIC = 'KTR_68' AND kfc2.CHARACTERISTIC = 'TOTAL'
WHERE kfc2.VALUE &lt;&gt; 0 AND kfc2.VALUE IS NOT NULL
) 
SELECT 'ANTEIL_1509' AS KeyFigureName,
'123456' AS ProcessingRunId, 
'12345' AS WaveId, 
Characteristic, BusinessObjectKey, 
Value AS Value 
FROM ZDATA 
ORDER BY BusinessObjectKey;</v>
      </c>
    </row>
    <row r="650" spans="1:19" x14ac:dyDescent="0.2">
      <c r="A650" s="4">
        <v>1509</v>
      </c>
      <c r="B650" s="3">
        <v>5</v>
      </c>
      <c r="C650" s="3" t="s">
        <v>1241</v>
      </c>
      <c r="D650" s="3" t="s">
        <v>1242</v>
      </c>
      <c r="E650" s="3" t="s">
        <v>21</v>
      </c>
      <c r="F650" s="3" t="s">
        <v>39</v>
      </c>
      <c r="G650" s="3" t="s">
        <v>40</v>
      </c>
      <c r="I650" s="3" t="s">
        <v>41</v>
      </c>
      <c r="M650" s="3" t="s">
        <v>1243</v>
      </c>
      <c r="N650" s="3" t="s">
        <v>43</v>
      </c>
      <c r="O650" s="3" t="s">
        <v>1244</v>
      </c>
      <c r="S650" s="3" t="str">
        <f t="shared" si="10"/>
        <v>WITH ZDATA AS
(SELECT NVL(kfc.VALUE,0)-NVL(kfc2.VALUE,0) AS Value, 
'123' AS BusinessObjectKey, 
kfc.CHARACTERISTIC AS Characteristic
FROM ANTEIL_1509 kfc
JOIN PDP_ANTEIL_1509 kfc2 ON kfc.BO_KEY = kfc2.BO_KEY AND kfc.CHARACTERISTIC = kfc2.CHARACTERISTIC
) 
SELECT 'VGL_ANTEIL_1509' AS KeyFigureName,
'123456' AS ProcessingRunId, 
'12345' AS WaveId, 
Characteristic, BusinessObjectKey, 
Value AS Value 
FROM ZDATA 
ORDER BY BusinessObjectKey;</v>
      </c>
    </row>
    <row r="651" spans="1:19" x14ac:dyDescent="0.2">
      <c r="A651" s="4">
        <v>1516</v>
      </c>
      <c r="B651" s="3">
        <v>1</v>
      </c>
      <c r="C651" s="3" t="s">
        <v>1245</v>
      </c>
      <c r="D651" s="3" t="s">
        <v>96</v>
      </c>
      <c r="E651" s="3" t="s">
        <v>21</v>
      </c>
      <c r="F651" s="3" t="s">
        <v>109</v>
      </c>
      <c r="H651" s="3" t="s">
        <v>61</v>
      </c>
      <c r="I651" s="3" t="s">
        <v>21</v>
      </c>
      <c r="J651" s="3" t="s">
        <v>245</v>
      </c>
      <c r="K651" s="3" t="s">
        <v>246</v>
      </c>
      <c r="L651" s="3" t="s">
        <v>26</v>
      </c>
      <c r="M651" s="3" t="s">
        <v>27</v>
      </c>
      <c r="N651" s="3" t="s">
        <v>28</v>
      </c>
      <c r="O651" s="3" t="s">
        <v>98</v>
      </c>
      <c r="P651" s="3" t="s">
        <v>589</v>
      </c>
      <c r="S651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adm.UV_GRUNDVERSICHERUNG=1 THEN 'GRUNDVERSICHERUNG_1'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2" spans="1:19" x14ac:dyDescent="0.2">
      <c r="A652" s="4">
        <v>1516</v>
      </c>
      <c r="B652" s="3">
        <v>1</v>
      </c>
      <c r="C652" s="3" t="s">
        <v>1245</v>
      </c>
      <c r="D652" s="3" t="s">
        <v>96</v>
      </c>
      <c r="E652" s="3" t="s">
        <v>21</v>
      </c>
      <c r="F652" s="3" t="s">
        <v>109</v>
      </c>
      <c r="H652" s="3" t="s">
        <v>61</v>
      </c>
      <c r="I652" s="3" t="s">
        <v>21</v>
      </c>
      <c r="J652" s="3" t="s">
        <v>247</v>
      </c>
      <c r="K652" s="3" t="s">
        <v>248</v>
      </c>
      <c r="L652" s="3" t="s">
        <v>26</v>
      </c>
      <c r="M652" s="3" t="s">
        <v>27</v>
      </c>
      <c r="N652" s="3" t="s">
        <v>28</v>
      </c>
      <c r="O652" s="3" t="s">
        <v>98</v>
      </c>
      <c r="P652" s="3" t="s">
        <v>589</v>
      </c>
      <c r="S652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adm.UV_GRUNDVERSICHERUNG=2 THEN 'GRUNDVERSICHERUNG_2'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3" spans="1:19" x14ac:dyDescent="0.2">
      <c r="A653" s="4">
        <v>1516</v>
      </c>
      <c r="B653" s="3">
        <v>1</v>
      </c>
      <c r="C653" s="3" t="s">
        <v>1245</v>
      </c>
      <c r="D653" s="3" t="s">
        <v>96</v>
      </c>
      <c r="E653" s="3" t="s">
        <v>21</v>
      </c>
      <c r="F653" s="3" t="s">
        <v>109</v>
      </c>
      <c r="H653" s="3" t="s">
        <v>61</v>
      </c>
      <c r="I653" s="3" t="s">
        <v>21</v>
      </c>
      <c r="J653" s="3" t="s">
        <v>249</v>
      </c>
      <c r="K653" s="3" t="s">
        <v>250</v>
      </c>
      <c r="L653" s="3" t="s">
        <v>26</v>
      </c>
      <c r="M653" s="3" t="s">
        <v>27</v>
      </c>
      <c r="N653" s="3" t="s">
        <v>28</v>
      </c>
      <c r="O653" s="3" t="s">
        <v>98</v>
      </c>
      <c r="P653" s="3" t="s">
        <v>589</v>
      </c>
      <c r="S653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adm.UV_GRUNDVERSICHERUNG=3 THEN 'GRUNDVERSICHERUNG_3'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4" spans="1:19" x14ac:dyDescent="0.2">
      <c r="A654" s="4">
        <v>1516</v>
      </c>
      <c r="B654" s="3">
        <v>1</v>
      </c>
      <c r="C654" s="3" t="s">
        <v>1245</v>
      </c>
      <c r="D654" s="3" t="s">
        <v>96</v>
      </c>
      <c r="E654" s="3" t="s">
        <v>21</v>
      </c>
      <c r="F654" s="3" t="s">
        <v>109</v>
      </c>
      <c r="H654" s="3" t="s">
        <v>61</v>
      </c>
      <c r="I654" s="3" t="s">
        <v>21</v>
      </c>
      <c r="J654" s="3" t="s">
        <v>251</v>
      </c>
      <c r="K654" s="3" t="s">
        <v>252</v>
      </c>
      <c r="L654" s="3" t="s">
        <v>26</v>
      </c>
      <c r="M654" s="3" t="s">
        <v>27</v>
      </c>
      <c r="N654" s="3" t="s">
        <v>28</v>
      </c>
      <c r="O654" s="3" t="s">
        <v>98</v>
      </c>
      <c r="P654" s="3" t="s">
        <v>589</v>
      </c>
      <c r="S654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adm.UV_GRUNDVERSICHERUNG=4 THEN 'GRUNDVERSICHERUNG_4'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5" spans="1:19" x14ac:dyDescent="0.2">
      <c r="A655" s="4">
        <v>1516</v>
      </c>
      <c r="B655" s="3">
        <v>1</v>
      </c>
      <c r="C655" s="3" t="s">
        <v>1245</v>
      </c>
      <c r="D655" s="3" t="s">
        <v>96</v>
      </c>
      <c r="E655" s="3" t="s">
        <v>21</v>
      </c>
      <c r="F655" s="3" t="s">
        <v>109</v>
      </c>
      <c r="H655" s="3" t="s">
        <v>61</v>
      </c>
      <c r="I655" s="3" t="s">
        <v>21</v>
      </c>
      <c r="J655" s="3" t="s">
        <v>253</v>
      </c>
      <c r="K655" s="3" t="s">
        <v>254</v>
      </c>
      <c r="L655" s="3" t="s">
        <v>26</v>
      </c>
      <c r="M655" s="3" t="s">
        <v>27</v>
      </c>
      <c r="N655" s="3" t="s">
        <v>28</v>
      </c>
      <c r="O655" s="3" t="s">
        <v>98</v>
      </c>
      <c r="P655" s="3" t="s">
        <v>589</v>
      </c>
      <c r="S655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adm.UV_GRUNDVERSICHERUNG=5 THEN 'GRUNDVERSICHERUNG_5'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6" spans="1:19" x14ac:dyDescent="0.2">
      <c r="A656" s="4">
        <v>1516</v>
      </c>
      <c r="B656" s="3">
        <v>1</v>
      </c>
      <c r="C656" s="3" t="s">
        <v>1245</v>
      </c>
      <c r="D656" s="3" t="s">
        <v>96</v>
      </c>
      <c r="E656" s="3" t="s">
        <v>21</v>
      </c>
      <c r="F656" s="3" t="s">
        <v>109</v>
      </c>
      <c r="H656" s="3" t="s">
        <v>61</v>
      </c>
      <c r="I656" s="3" t="s">
        <v>21</v>
      </c>
      <c r="J656" s="3" t="s">
        <v>255</v>
      </c>
      <c r="K656" s="3" t="s">
        <v>256</v>
      </c>
      <c r="L656" s="3" t="s">
        <v>26</v>
      </c>
      <c r="M656" s="3" t="s">
        <v>27</v>
      </c>
      <c r="N656" s="3" t="s">
        <v>28</v>
      </c>
      <c r="O656" s="3" t="s">
        <v>98</v>
      </c>
      <c r="P656" s="3" t="s">
        <v>589</v>
      </c>
      <c r="S656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adm.UV_GRUNDVERSICHERUNG=8 THEN 'GRUNDVERSICHERUNG_8'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7" spans="1:19" x14ac:dyDescent="0.2">
      <c r="A657" s="4">
        <v>1516</v>
      </c>
      <c r="B657" s="3">
        <v>1</v>
      </c>
      <c r="C657" s="3" t="s">
        <v>1245</v>
      </c>
      <c r="D657" s="3" t="s">
        <v>96</v>
      </c>
      <c r="E657" s="3" t="s">
        <v>21</v>
      </c>
      <c r="F657" s="3" t="s">
        <v>109</v>
      </c>
      <c r="H657" s="3" t="s">
        <v>61</v>
      </c>
      <c r="I657" s="3" t="s">
        <v>21</v>
      </c>
      <c r="J657" s="3" t="s">
        <v>257</v>
      </c>
      <c r="K657" s="3" t="s">
        <v>258</v>
      </c>
      <c r="L657" s="3" t="s">
        <v>26</v>
      </c>
      <c r="M657" s="3" t="s">
        <v>27</v>
      </c>
      <c r="N657" s="3" t="s">
        <v>28</v>
      </c>
      <c r="O657" s="3" t="s">
        <v>98</v>
      </c>
      <c r="P657" s="3" t="s">
        <v>589</v>
      </c>
      <c r="S657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adm.UV_GRUNDVERSICHERUNG=9 THEN 'GRUNDVERSICHERUNG_9'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8" spans="1:19" x14ac:dyDescent="0.2">
      <c r="A658" s="4">
        <v>1516</v>
      </c>
      <c r="B658" s="3">
        <v>2</v>
      </c>
      <c r="C658" s="3" t="s">
        <v>1246</v>
      </c>
      <c r="D658" s="3" t="s">
        <v>1247</v>
      </c>
      <c r="E658" s="3" t="s">
        <v>21</v>
      </c>
      <c r="F658" s="3" t="s">
        <v>932</v>
      </c>
      <c r="G658" s="3" t="s">
        <v>40</v>
      </c>
      <c r="I658" s="3" t="s">
        <v>41</v>
      </c>
      <c r="M658" s="3" t="s">
        <v>1248</v>
      </c>
      <c r="N658" s="3" t="s">
        <v>43</v>
      </c>
      <c r="O658" s="3" t="s">
        <v>1249</v>
      </c>
      <c r="P658" s="3" t="s">
        <v>935</v>
      </c>
      <c r="S658" s="3" t="str">
        <f t="shared" si="10"/>
        <v>WITH ZDATA AS
(SELECT TRUNC(NVL(kfc.VALUE,0) / NVL(kfc_total.VALUE,0),10) AS Value, 
'123' AS BusinessObjectKey, 
kfc.CHARACTERISTIC AS Characteristic
FROM SUM_1516 kfc
JOIN SUM_1516 kfc_total ON kfc_total.CHARACTERISTIC = 'TOTAL' AND kfc.CHARACTERISTIC &lt;&gt; 'TOTAL'
WHERE kfc_total.VALUE &lt;&gt; 0 AND kfc_total.VALUE IS NOT NULL
) 
SELECT 'ANTEIL_1516' AS KeyFigureName,
'123456' AS ProcessingRunId, 
'12345' AS WaveId, 
Characteristic, BusinessObjectKey, 
Value AS Value 
FROM ZDATA 
ORDER BY BusinessObjectKey;</v>
      </c>
    </row>
    <row r="659" spans="1:19" x14ac:dyDescent="0.2">
      <c r="A659" s="4">
        <v>1516</v>
      </c>
      <c r="B659" s="3">
        <v>2</v>
      </c>
      <c r="C659" s="3" t="s">
        <v>1250</v>
      </c>
      <c r="D659" s="3" t="s">
        <v>1251</v>
      </c>
      <c r="E659" s="3" t="s">
        <v>21</v>
      </c>
      <c r="F659" s="3" t="s">
        <v>39</v>
      </c>
      <c r="G659" s="3" t="s">
        <v>40</v>
      </c>
      <c r="I659" s="3" t="s">
        <v>41</v>
      </c>
      <c r="M659" s="3" t="s">
        <v>1248</v>
      </c>
      <c r="N659" s="3" t="s">
        <v>43</v>
      </c>
      <c r="O659" s="3" t="s">
        <v>1252</v>
      </c>
      <c r="S659" s="3" t="str">
        <f t="shared" si="10"/>
        <v>WITH ZDATA AS
(SELECT NVL(kfc.VALUE,0)-NVL(kfc2.VALUE,0) AS Value, 
'123' AS BusinessObjectKey, 
kfc.CHARACTERISTIC AS Characteristic
FROM SUM_1516 kfc
JOIN PDP_SUM_1516 kfc2 ON kfc.BO_KEY = kfc2.BO_KEY AND kfc.CHARACTERISTIC = kfc2.CHARACTERISTIC
) 
SELECT 'VGL_ABS_1516' AS KeyFigureName,
'123456' AS ProcessingRunId, 
'12345' AS WaveId, 
Characteristic, BusinessObjectKey, 
Value AS Value 
FROM ZDATA 
ORDER BY BusinessObjectKey;</v>
      </c>
    </row>
    <row r="660" spans="1:19" x14ac:dyDescent="0.2">
      <c r="A660" s="4">
        <v>1516</v>
      </c>
      <c r="B660" s="3">
        <v>2</v>
      </c>
      <c r="C660" s="3" t="s">
        <v>1253</v>
      </c>
      <c r="D660" s="3" t="s">
        <v>1251</v>
      </c>
      <c r="E660" s="3" t="s">
        <v>21</v>
      </c>
      <c r="F660" s="3" t="s">
        <v>54</v>
      </c>
      <c r="G660" s="3" t="s">
        <v>40</v>
      </c>
      <c r="I660" s="3" t="s">
        <v>41</v>
      </c>
      <c r="M660" s="3" t="s">
        <v>1248</v>
      </c>
      <c r="N660" s="3" t="s">
        <v>43</v>
      </c>
      <c r="O660" s="3" t="s">
        <v>1252</v>
      </c>
      <c r="P660" s="3" t="s">
        <v>55</v>
      </c>
      <c r="S660" s="3" t="str">
        <f t="shared" si="10"/>
        <v>WITH ZDATA AS
(SELECT TRUNC((NVL(kfc.VALUE,0)-NVL(kfc2.VALUE,0)) / kfc2.VALUE,10) AS Value, 
'123' AS BusinessObjectKey, 
kfc.CHARACTERISTIC AS Characteristic
FROM SUM_1516 kfc
JOIN PDP_SUM_1516 kfc2 ON kfc.BO_KEY = kfc2.BO_KEY AND kfc.CHARACTERISTIC = kfc2.CHARACTERISTIC
WHERE kfc2.VALUE &lt;&gt; 0 AND kfc2.VALUE IS NOT NULL
) 
SELECT 'VGL_REL_1516' AS KeyFigureName,
'123456' AS ProcessingRunId, 
'12345' AS WaveId, 
Characteristic, BusinessObjectKey, 
Value AS Value 
FROM ZDATA 
ORDER BY BusinessObjectKey;</v>
      </c>
    </row>
    <row r="661" spans="1:19" x14ac:dyDescent="0.2">
      <c r="A661" s="4">
        <v>1517</v>
      </c>
      <c r="B661" s="3">
        <v>1</v>
      </c>
      <c r="C661" s="3" t="s">
        <v>1254</v>
      </c>
      <c r="D661" s="3" t="s">
        <v>96</v>
      </c>
      <c r="E661" s="3" t="s">
        <v>21</v>
      </c>
      <c r="F661" s="3" t="s">
        <v>97</v>
      </c>
      <c r="H661" s="3" t="s">
        <v>61</v>
      </c>
      <c r="I661" s="3" t="s">
        <v>21</v>
      </c>
      <c r="J661" s="3" t="s">
        <v>245</v>
      </c>
      <c r="K661" s="3" t="s">
        <v>246</v>
      </c>
      <c r="L661" s="3" t="s">
        <v>26</v>
      </c>
      <c r="M661" s="3" t="s">
        <v>27</v>
      </c>
      <c r="N661" s="3" t="s">
        <v>28</v>
      </c>
      <c r="O661" s="3" t="s">
        <v>98</v>
      </c>
      <c r="P661" s="3" t="s">
        <v>589</v>
      </c>
      <c r="S661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adm.UV_GRUNDVERSICHERUNG=1 THEN 'GRUNDVERSICHERUNG_1'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2" spans="1:19" x14ac:dyDescent="0.2">
      <c r="A662" s="4">
        <v>1517</v>
      </c>
      <c r="B662" s="3">
        <v>1</v>
      </c>
      <c r="C662" s="3" t="s">
        <v>1254</v>
      </c>
      <c r="D662" s="3" t="s">
        <v>96</v>
      </c>
      <c r="E662" s="3" t="s">
        <v>21</v>
      </c>
      <c r="F662" s="3" t="s">
        <v>97</v>
      </c>
      <c r="H662" s="3" t="s">
        <v>61</v>
      </c>
      <c r="I662" s="3" t="s">
        <v>21</v>
      </c>
      <c r="J662" s="3" t="s">
        <v>247</v>
      </c>
      <c r="K662" s="3" t="s">
        <v>248</v>
      </c>
      <c r="L662" s="3" t="s">
        <v>26</v>
      </c>
      <c r="M662" s="3" t="s">
        <v>27</v>
      </c>
      <c r="N662" s="3" t="s">
        <v>28</v>
      </c>
      <c r="O662" s="3" t="s">
        <v>98</v>
      </c>
      <c r="P662" s="3" t="s">
        <v>589</v>
      </c>
      <c r="S662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adm.UV_GRUNDVERSICHERUNG=2 THEN 'GRUNDVERSICHERUNG_2'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3" spans="1:19" x14ac:dyDescent="0.2">
      <c r="A663" s="4">
        <v>1517</v>
      </c>
      <c r="B663" s="3">
        <v>1</v>
      </c>
      <c r="C663" s="3" t="s">
        <v>1254</v>
      </c>
      <c r="D663" s="3" t="s">
        <v>96</v>
      </c>
      <c r="E663" s="3" t="s">
        <v>21</v>
      </c>
      <c r="F663" s="3" t="s">
        <v>97</v>
      </c>
      <c r="H663" s="3" t="s">
        <v>61</v>
      </c>
      <c r="I663" s="3" t="s">
        <v>21</v>
      </c>
      <c r="J663" s="3" t="s">
        <v>249</v>
      </c>
      <c r="K663" s="3" t="s">
        <v>250</v>
      </c>
      <c r="L663" s="3" t="s">
        <v>26</v>
      </c>
      <c r="M663" s="3" t="s">
        <v>27</v>
      </c>
      <c r="N663" s="3" t="s">
        <v>28</v>
      </c>
      <c r="O663" s="3" t="s">
        <v>98</v>
      </c>
      <c r="P663" s="3" t="s">
        <v>589</v>
      </c>
      <c r="S663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adm.UV_GRUNDVERSICHERUNG=3 THEN 'GRUNDVERSICHERUNG_3'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4" spans="1:19" x14ac:dyDescent="0.2">
      <c r="A664" s="4">
        <v>1517</v>
      </c>
      <c r="B664" s="3">
        <v>1</v>
      </c>
      <c r="C664" s="3" t="s">
        <v>1254</v>
      </c>
      <c r="D664" s="3" t="s">
        <v>96</v>
      </c>
      <c r="E664" s="3" t="s">
        <v>21</v>
      </c>
      <c r="F664" s="3" t="s">
        <v>97</v>
      </c>
      <c r="H664" s="3" t="s">
        <v>61</v>
      </c>
      <c r="I664" s="3" t="s">
        <v>21</v>
      </c>
      <c r="J664" s="3" t="s">
        <v>251</v>
      </c>
      <c r="K664" s="3" t="s">
        <v>252</v>
      </c>
      <c r="L664" s="3" t="s">
        <v>26</v>
      </c>
      <c r="M664" s="3" t="s">
        <v>27</v>
      </c>
      <c r="N664" s="3" t="s">
        <v>28</v>
      </c>
      <c r="O664" s="3" t="s">
        <v>98</v>
      </c>
      <c r="P664" s="3" t="s">
        <v>589</v>
      </c>
      <c r="S664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adm.UV_GRUNDVERSICHERUNG=4 THEN 'GRUNDVERSICHERUNG_4'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5" spans="1:19" x14ac:dyDescent="0.2">
      <c r="A665" s="4">
        <v>1517</v>
      </c>
      <c r="B665" s="3">
        <v>1</v>
      </c>
      <c r="C665" s="3" t="s">
        <v>1254</v>
      </c>
      <c r="D665" s="3" t="s">
        <v>96</v>
      </c>
      <c r="E665" s="3" t="s">
        <v>21</v>
      </c>
      <c r="F665" s="3" t="s">
        <v>97</v>
      </c>
      <c r="H665" s="3" t="s">
        <v>61</v>
      </c>
      <c r="I665" s="3" t="s">
        <v>21</v>
      </c>
      <c r="J665" s="3" t="s">
        <v>253</v>
      </c>
      <c r="K665" s="3" t="s">
        <v>254</v>
      </c>
      <c r="L665" s="3" t="s">
        <v>26</v>
      </c>
      <c r="M665" s="3" t="s">
        <v>27</v>
      </c>
      <c r="N665" s="3" t="s">
        <v>28</v>
      </c>
      <c r="O665" s="3" t="s">
        <v>98</v>
      </c>
      <c r="P665" s="3" t="s">
        <v>589</v>
      </c>
      <c r="S665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adm.UV_GRUNDVERSICHERUNG=5 THEN 'GRUNDVERSICHERUNG_5'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6" spans="1:19" x14ac:dyDescent="0.2">
      <c r="A666" s="4">
        <v>1517</v>
      </c>
      <c r="B666" s="3">
        <v>1</v>
      </c>
      <c r="C666" s="3" t="s">
        <v>1254</v>
      </c>
      <c r="D666" s="3" t="s">
        <v>96</v>
      </c>
      <c r="E666" s="3" t="s">
        <v>21</v>
      </c>
      <c r="F666" s="3" t="s">
        <v>97</v>
      </c>
      <c r="H666" s="3" t="s">
        <v>61</v>
      </c>
      <c r="I666" s="3" t="s">
        <v>21</v>
      </c>
      <c r="J666" s="3" t="s">
        <v>255</v>
      </c>
      <c r="K666" s="3" t="s">
        <v>256</v>
      </c>
      <c r="L666" s="3" t="s">
        <v>26</v>
      </c>
      <c r="M666" s="3" t="s">
        <v>27</v>
      </c>
      <c r="N666" s="3" t="s">
        <v>28</v>
      </c>
      <c r="O666" s="3" t="s">
        <v>98</v>
      </c>
      <c r="P666" s="3" t="s">
        <v>589</v>
      </c>
      <c r="S666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adm.UV_GRUNDVERSICHERUNG=8 THEN 'GRUNDVERSICHERUNG_8'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7" spans="1:19" x14ac:dyDescent="0.2">
      <c r="A667" s="4">
        <v>1517</v>
      </c>
      <c r="B667" s="3">
        <v>1</v>
      </c>
      <c r="C667" s="3" t="s">
        <v>1254</v>
      </c>
      <c r="D667" s="3" t="s">
        <v>96</v>
      </c>
      <c r="E667" s="3" t="s">
        <v>21</v>
      </c>
      <c r="F667" s="3" t="s">
        <v>97</v>
      </c>
      <c r="H667" s="3" t="s">
        <v>61</v>
      </c>
      <c r="I667" s="3" t="s">
        <v>21</v>
      </c>
      <c r="J667" s="3" t="s">
        <v>257</v>
      </c>
      <c r="K667" s="3" t="s">
        <v>258</v>
      </c>
      <c r="L667" s="3" t="s">
        <v>26</v>
      </c>
      <c r="M667" s="3" t="s">
        <v>27</v>
      </c>
      <c r="N667" s="3" t="s">
        <v>28</v>
      </c>
      <c r="O667" s="3" t="s">
        <v>98</v>
      </c>
      <c r="P667" s="3" t="s">
        <v>589</v>
      </c>
      <c r="S667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adm.UV_GRUNDVERSICHERUNG=9 THEN 'GRUNDVERSICHERUNG_9'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8" spans="1:19" x14ac:dyDescent="0.2">
      <c r="A668" s="4">
        <v>1517</v>
      </c>
      <c r="B668" s="3">
        <v>2</v>
      </c>
      <c r="C668" s="3" t="s">
        <v>1255</v>
      </c>
      <c r="D668" s="3" t="s">
        <v>1256</v>
      </c>
      <c r="E668" s="3" t="s">
        <v>21</v>
      </c>
      <c r="F668" s="3" t="s">
        <v>932</v>
      </c>
      <c r="G668" s="3" t="s">
        <v>40</v>
      </c>
      <c r="I668" s="3" t="s">
        <v>41</v>
      </c>
      <c r="M668" s="3" t="s">
        <v>1257</v>
      </c>
      <c r="N668" s="3" t="s">
        <v>43</v>
      </c>
      <c r="O668" s="3" t="s">
        <v>1258</v>
      </c>
      <c r="P668" s="3" t="s">
        <v>935</v>
      </c>
      <c r="S668" s="3" t="str">
        <f t="shared" si="10"/>
        <v>WITH ZDATA AS
(SELECT TRUNC(NVL(kfc.VALUE,0) / NVL(kfc_total.VALUE,0),10) AS Value, 
'123' AS BusinessObjectKey, 
kfc.CHARACTERISTIC AS Characteristic
FROM SUM_1517 kfc
JOIN SUM_1517 kfc_total ON kfc_total.CHARACTERISTIC = 'TOTAL' AND kfc.CHARACTERISTIC &lt;&gt; 'TOTAL'
WHERE kfc_total.VALUE &lt;&gt; 0 AND kfc_total.VALUE IS NOT NULL
) 
SELECT 'ANTEIL_1517' AS KeyFigureName,
'123456' AS ProcessingRunId, 
'12345' AS WaveId, 
Characteristic, BusinessObjectKey, 
Value AS Value 
FROM ZDATA 
ORDER BY BusinessObjectKey;</v>
      </c>
    </row>
    <row r="669" spans="1:19" x14ac:dyDescent="0.2">
      <c r="A669" s="4">
        <v>1517</v>
      </c>
      <c r="B669" s="3">
        <v>2</v>
      </c>
      <c r="C669" s="3" t="s">
        <v>1259</v>
      </c>
      <c r="D669" s="3" t="s">
        <v>1260</v>
      </c>
      <c r="E669" s="3" t="s">
        <v>21</v>
      </c>
      <c r="F669" s="3" t="s">
        <v>39</v>
      </c>
      <c r="G669" s="3" t="s">
        <v>40</v>
      </c>
      <c r="I669" s="3" t="s">
        <v>41</v>
      </c>
      <c r="M669" s="3" t="s">
        <v>1257</v>
      </c>
      <c r="N669" s="3" t="s">
        <v>43</v>
      </c>
      <c r="O669" s="3" t="s">
        <v>1261</v>
      </c>
      <c r="S669" s="3" t="str">
        <f t="shared" si="10"/>
        <v>WITH ZDATA AS
(SELECT NVL(kfc.VALUE,0)-NVL(kfc2.VALUE,0) AS Value, 
'123' AS BusinessObjectKey, 
kfc.CHARACTERISTIC AS Characteristic
FROM SUM_1517 kfc
JOIN PDP_SUM_1517 kfc2 ON kfc.BO_KEY = kfc2.BO_KEY AND kfc.CHARACTERISTIC = kfc2.CHARACTERISTIC
) 
SELECT 'VGL_ABS_1517' AS KeyFigureName,
'123456' AS ProcessingRunId, 
'12345' AS WaveId, 
Characteristic, BusinessObjectKey, 
Value AS Value 
FROM ZDATA 
ORDER BY BusinessObjectKey;</v>
      </c>
    </row>
    <row r="670" spans="1:19" x14ac:dyDescent="0.2">
      <c r="A670" s="4">
        <v>1517</v>
      </c>
      <c r="B670" s="3">
        <v>2</v>
      </c>
      <c r="C670" s="3" t="s">
        <v>1262</v>
      </c>
      <c r="D670" s="3" t="s">
        <v>1260</v>
      </c>
      <c r="E670" s="3" t="s">
        <v>21</v>
      </c>
      <c r="F670" s="3" t="s">
        <v>54</v>
      </c>
      <c r="G670" s="3" t="s">
        <v>40</v>
      </c>
      <c r="I670" s="3" t="s">
        <v>41</v>
      </c>
      <c r="M670" s="3" t="s">
        <v>1257</v>
      </c>
      <c r="N670" s="3" t="s">
        <v>43</v>
      </c>
      <c r="O670" s="3" t="s">
        <v>1261</v>
      </c>
      <c r="P670" s="3" t="s">
        <v>55</v>
      </c>
      <c r="S670" s="3" t="str">
        <f t="shared" si="10"/>
        <v>WITH ZDATA AS
(SELECT TRUNC((NVL(kfc.VALUE,0)-NVL(kfc2.VALUE,0)) / kfc2.VALUE,10) AS Value, 
'123' AS BusinessObjectKey, 
kfc.CHARACTERISTIC AS Characteristic
FROM SUM_1517 kfc
JOIN PDP_SUM_1517 kfc2 ON kfc.BO_KEY = kfc2.BO_KEY AND kfc.CHARACTERISTIC = kfc2.CHARACTERISTIC
WHERE kfc2.VALUE &lt;&gt; 0 AND kfc2.VALUE IS NOT NULL
) 
SELECT 'VGL_REL_1517' AS KeyFigureName,
'123456' AS ProcessingRunId, 
'12345' AS WaveId, 
Characteristic, BusinessObjectKey, 
Value AS Value 
FROM ZDATA 
ORDER BY BusinessObjectKey;</v>
      </c>
    </row>
    <row r="671" spans="1:19" x14ac:dyDescent="0.2">
      <c r="A671" s="4">
        <v>1519</v>
      </c>
      <c r="B671" s="3">
        <v>1</v>
      </c>
      <c r="C671" s="3" t="s">
        <v>1263</v>
      </c>
      <c r="D671" s="3" t="s">
        <v>89</v>
      </c>
      <c r="E671" s="3" t="s">
        <v>21</v>
      </c>
      <c r="F671" s="3" t="s">
        <v>192</v>
      </c>
      <c r="H671" s="3" t="s">
        <v>23</v>
      </c>
      <c r="I671" s="3" t="s">
        <v>21</v>
      </c>
      <c r="J671" s="3" t="s">
        <v>800</v>
      </c>
      <c r="K671" s="3" t="s">
        <v>1264</v>
      </c>
      <c r="L671" s="3" t="s">
        <v>26</v>
      </c>
      <c r="M671" s="3" t="s">
        <v>27</v>
      </c>
      <c r="N671" s="3" t="s">
        <v>28</v>
      </c>
      <c r="S671" s="3" t="str">
        <f t="shared" si="10"/>
        <v>WITH ZDATA AS
(SELECT adm.UV_TARIF AS Value, 
'123' AS BusinessObjectKey, 
CASE WHEN adm.UV_TARIF=0 THEN 'TARIF_0' ELSE 'OTHER' 
END AS Characteristic
FROM ADMINISTRATIVES adm
) 
SELECT 'ANZ_1519' AS KeyFigureName,
'123456' AS ProcessingRunId, 
'12345' AS WaveId, 
Characteristic, BusinessObjectKey, 
COUNT(*) AS Value 
FROM ZDATA 
GROUP BY Characteristic, BusinessObjectKey
ORDER BY BusinessObjectKey;</v>
      </c>
    </row>
    <row r="672" spans="1:19" x14ac:dyDescent="0.2">
      <c r="A672" s="4">
        <v>1519</v>
      </c>
      <c r="B672" s="3">
        <v>2</v>
      </c>
      <c r="C672" s="3" t="s">
        <v>1265</v>
      </c>
      <c r="D672" s="3" t="s">
        <v>1266</v>
      </c>
      <c r="E672" s="3" t="s">
        <v>21</v>
      </c>
      <c r="F672" s="3" t="s">
        <v>932</v>
      </c>
      <c r="G672" s="3" t="s">
        <v>40</v>
      </c>
      <c r="I672" s="3" t="s">
        <v>41</v>
      </c>
      <c r="M672" s="3" t="s">
        <v>1267</v>
      </c>
      <c r="N672" s="3" t="s">
        <v>43</v>
      </c>
      <c r="O672" s="3" t="s">
        <v>1268</v>
      </c>
      <c r="P672" s="3" t="s">
        <v>935</v>
      </c>
      <c r="S672" s="3" t="str">
        <f t="shared" si="10"/>
        <v>WITH ZDATA AS
(SELECT TRUNC(NVL(kfc.VALUE,0) / NVL(kfc_total.VALUE,0),10) AS Value, 
'123' AS BusinessObjectKey, 
kfc.CHARACTERISTIC AS Characteristic
FROM ANZ_1519 kfc
JOIN ANZ_1519 kfc_total ON kfc_total.CHARACTERISTIC = 'TOTAL' AND kfc.CHARACTERISTIC &lt;&gt; 'TOTAL'
WHERE kfc_total.VALUE &lt;&gt; 0 AND kfc_total.VALUE IS NOT NULL
) 
SELECT 'ANTEIL_1519' AS KeyFigureName,
'123456' AS ProcessingRunId, 
'12345' AS WaveId, 
Characteristic, BusinessObjectKey, 
Value AS Value 
FROM ZDATA 
ORDER BY BusinessObjectKey;</v>
      </c>
    </row>
    <row r="673" spans="1:19" x14ac:dyDescent="0.2">
      <c r="A673" s="4">
        <v>1520</v>
      </c>
      <c r="B673" s="3">
        <v>1</v>
      </c>
      <c r="C673" s="3" t="s">
        <v>1269</v>
      </c>
      <c r="D673" s="3" t="s">
        <v>89</v>
      </c>
      <c r="E673" s="3" t="s">
        <v>21</v>
      </c>
      <c r="F673" s="3" t="s">
        <v>217</v>
      </c>
      <c r="H673" s="3" t="s">
        <v>23</v>
      </c>
      <c r="I673" s="3" t="s">
        <v>21</v>
      </c>
      <c r="J673" s="3" t="s">
        <v>224</v>
      </c>
      <c r="K673" s="3" t="s">
        <v>225</v>
      </c>
      <c r="L673" s="3" t="s">
        <v>26</v>
      </c>
      <c r="M673" s="3" t="s">
        <v>27</v>
      </c>
      <c r="N673" s="3" t="s">
        <v>28</v>
      </c>
      <c r="P673" s="3" t="s">
        <v>92</v>
      </c>
      <c r="S673" s="3" t="str">
        <f t="shared" si="10"/>
        <v>WITH ZDATA AS
(SELECT adm.UV_LIEGEKLASSE AS Value, 
'123' AS BusinessObjectKey, 
CASE WHEN adm.UV_LIEGEKLASSE=9 THEN 'LIEGEKLASSE_9' ELSE 'OTHER' 
END AS Characteristic
FROM ADMINISTRATIVES adm
WHERE adm.UV_ABC_FALL= 'A'
) 
SELECT 'ANZ_1520' AS KeyFigureName,
'123456' AS ProcessingRunId, 
'12345' AS WaveId, 
Characteristic, BusinessObjectKey, 
COUNT(*) AS Value 
FROM ZDATA 
GROUP BY Characteristic, BusinessObjectKey
ORDER BY BusinessObjectKey;</v>
      </c>
    </row>
    <row r="674" spans="1:19" x14ac:dyDescent="0.2">
      <c r="A674" s="4">
        <v>1520</v>
      </c>
      <c r="B674" s="3">
        <v>2</v>
      </c>
      <c r="C674" s="3" t="s">
        <v>1270</v>
      </c>
      <c r="D674" s="3" t="s">
        <v>1271</v>
      </c>
      <c r="E674" s="3" t="s">
        <v>21</v>
      </c>
      <c r="F674" s="3" t="s">
        <v>932</v>
      </c>
      <c r="G674" s="3" t="s">
        <v>40</v>
      </c>
      <c r="I674" s="3" t="s">
        <v>41</v>
      </c>
      <c r="M674" s="3" t="s">
        <v>1272</v>
      </c>
      <c r="N674" s="3" t="s">
        <v>43</v>
      </c>
      <c r="O674" s="3" t="s">
        <v>1273</v>
      </c>
      <c r="P674" s="3" t="s">
        <v>935</v>
      </c>
      <c r="S674" s="3" t="str">
        <f t="shared" si="10"/>
        <v>WITH ZDATA AS
(SELECT TRUNC(NVL(kfc.VALUE,0) / NVL(kfc_total.VALUE,0),10) AS Value, 
'123' AS BusinessObjectKey, 
kfc.CHARACTERISTIC AS Characteristic
FROM ANZ_1520 kfc
JOIN ANZ_1520 kfc_total ON kfc_total.CHARACTERISTIC = 'TOTAL' AND kfc.CHARACTERISTIC &lt;&gt; 'TOTAL'
WHERE kfc_total.VALUE &lt;&gt; 0 AND kfc_total.VALUE IS NOT NULL
) 
SELECT 'ANTEIL_1520' AS KeyFigureName,
'123456' AS ProcessingRunId, 
'12345' AS WaveId, 
Characteristic, BusinessObjectKey, 
Value AS Value 
FROM ZDATA 
ORDER BY BusinessObjectKey;</v>
      </c>
    </row>
    <row r="675" spans="1:19" x14ac:dyDescent="0.2">
      <c r="A675" s="4">
        <v>1521</v>
      </c>
      <c r="B675" s="3">
        <v>1</v>
      </c>
      <c r="C675" s="3" t="s">
        <v>1274</v>
      </c>
      <c r="D675" s="3" t="s">
        <v>89</v>
      </c>
      <c r="E675" s="3" t="s">
        <v>21</v>
      </c>
      <c r="F675" s="3" t="s">
        <v>244</v>
      </c>
      <c r="H675" s="3" t="s">
        <v>23</v>
      </c>
      <c r="I675" s="3" t="s">
        <v>21</v>
      </c>
      <c r="J675" s="3" t="s">
        <v>257</v>
      </c>
      <c r="K675" s="3" t="s">
        <v>258</v>
      </c>
      <c r="L675" s="3" t="s">
        <v>26</v>
      </c>
      <c r="M675" s="3" t="s">
        <v>27</v>
      </c>
      <c r="N675" s="3" t="s">
        <v>28</v>
      </c>
      <c r="S675" s="3" t="str">
        <f t="shared" si="10"/>
        <v>WITH ZDATA AS
(SELECT adm.UV_GRUNDVERSICHERUNG AS Value, 
'123' AS BusinessObjectKey, 
CASE WHEN adm.UV_GRUNDVERSICHERUNG=9 THEN 'GRUNDVERSICHERUNG_9' ELSE 'OTHER' 
END AS Characteristic
FROM ADMINISTRATIVES adm
) 
SELECT 'ANZ_1521' AS KeyFigureName,
'123456' AS ProcessingRunId, 
'12345' AS WaveId, 
Characteristic, BusinessObjectKey, 
COUNT(*) AS Value 
FROM ZDATA 
GROUP BY Characteristic, BusinessObjectKey
ORDER BY BusinessObjectKey;</v>
      </c>
    </row>
    <row r="676" spans="1:19" x14ac:dyDescent="0.2">
      <c r="A676" s="4">
        <v>1521</v>
      </c>
      <c r="B676" s="3">
        <v>2</v>
      </c>
      <c r="C676" s="3" t="s">
        <v>1275</v>
      </c>
      <c r="D676" s="3" t="s">
        <v>1276</v>
      </c>
      <c r="E676" s="3" t="s">
        <v>21</v>
      </c>
      <c r="F676" s="3" t="s">
        <v>932</v>
      </c>
      <c r="G676" s="3" t="s">
        <v>40</v>
      </c>
      <c r="I676" s="3" t="s">
        <v>41</v>
      </c>
      <c r="M676" s="3" t="s">
        <v>1277</v>
      </c>
      <c r="N676" s="3" t="s">
        <v>43</v>
      </c>
      <c r="O676" s="3" t="s">
        <v>1278</v>
      </c>
      <c r="P676" s="3" t="s">
        <v>935</v>
      </c>
      <c r="S676" s="3" t="str">
        <f t="shared" si="10"/>
        <v>WITH ZDATA AS
(SELECT TRUNC(NVL(kfc.VALUE,0) / NVL(kfc_total.VALUE,0),10) AS Value, 
'123' AS BusinessObjectKey, 
kfc.CHARACTERISTIC AS Characteristic
FROM ANZ_1521 kfc
JOIN ANZ_1521 kfc_total ON kfc_total.CHARACTERISTIC = 'TOTAL' AND kfc.CHARACTERISTIC &lt;&gt; 'TOTAL'
WHERE kfc_total.VALUE &lt;&gt; 0 AND kfc_total.VALUE IS NOT NULL
) 
SELECT 'ANTEIL_1521' AS KeyFigureName,
'123456' AS ProcessingRunId, 
'12345' AS WaveId, 
Characteristic, BusinessObjectKey, 
Value AS Value 
FROM ZDATA 
ORDER BY BusinessObjectKey;</v>
      </c>
    </row>
    <row r="677" spans="1:19" x14ac:dyDescent="0.2">
      <c r="A677" s="4">
        <v>1522</v>
      </c>
      <c r="B677" s="3">
        <v>1</v>
      </c>
      <c r="C677" s="3" t="s">
        <v>1279</v>
      </c>
      <c r="D677" s="3" t="s">
        <v>89</v>
      </c>
      <c r="E677" s="3" t="s">
        <v>21</v>
      </c>
      <c r="F677" s="3" t="s">
        <v>359</v>
      </c>
      <c r="H677" s="3" t="s">
        <v>23</v>
      </c>
      <c r="I677" s="3" t="s">
        <v>21</v>
      </c>
      <c r="J677" s="3" t="s">
        <v>368</v>
      </c>
      <c r="K677" s="3" t="s">
        <v>369</v>
      </c>
      <c r="L677" s="3" t="s">
        <v>26</v>
      </c>
      <c r="M677" s="3" t="s">
        <v>27</v>
      </c>
      <c r="N677" s="3" t="s">
        <v>28</v>
      </c>
      <c r="S677" s="3" t="str">
        <f t="shared" si="10"/>
        <v>WITH ZDATA AS
(SELECT adm.UV_VERSICHERUNGSKLASSE AS Value, 
'123' AS BusinessObjectKey, 
CASE WHEN adm.UV_VERSICHERUNGSKLASSE=9 THEN 'VERSICHERUNGSKLASSE_9' ELSE 'OTHER' 
END AS Characteristic
FROM ADMINISTRATIVES adm
) 
SELECT 'ANZ_1522' AS KeyFigureName,
'123456' AS ProcessingRunId, 
'12345' AS WaveId, 
Characteristic, BusinessObjectKey, 
COUNT(*) AS Value 
FROM ZDATA 
GROUP BY Characteristic, BusinessObjectKey
ORDER BY BusinessObjectKey;</v>
      </c>
    </row>
    <row r="678" spans="1:19" x14ac:dyDescent="0.2">
      <c r="A678" s="4">
        <v>1522</v>
      </c>
      <c r="B678" s="3">
        <v>2</v>
      </c>
      <c r="C678" s="3" t="s">
        <v>1280</v>
      </c>
      <c r="D678" s="3" t="s">
        <v>1281</v>
      </c>
      <c r="E678" s="3" t="s">
        <v>21</v>
      </c>
      <c r="F678" s="3" t="s">
        <v>932</v>
      </c>
      <c r="G678" s="3" t="s">
        <v>40</v>
      </c>
      <c r="I678" s="3" t="s">
        <v>41</v>
      </c>
      <c r="M678" s="3" t="s">
        <v>1282</v>
      </c>
      <c r="N678" s="3" t="s">
        <v>43</v>
      </c>
      <c r="O678" s="3" t="s">
        <v>1283</v>
      </c>
      <c r="P678" s="3" t="s">
        <v>935</v>
      </c>
      <c r="S678" s="3" t="str">
        <f t="shared" si="10"/>
        <v>WITH ZDATA AS
(SELECT TRUNC(NVL(kfc.VALUE,0) / NVL(kfc_total.VALUE,0),10) AS Value, 
'123' AS BusinessObjectKey, 
kfc.CHARACTERISTIC AS Characteristic
FROM ANZ_1522 kfc
JOIN ANZ_1522 kfc_total ON kfc_total.CHARACTERISTIC = 'TOTAL' AND kfc.CHARACTERISTIC &lt;&gt; 'TOTAL'
WHERE kfc_total.VALUE &lt;&gt; 0 AND kfc_total.VALUE IS NOT NULL
) 
SELECT 'ANTEIL_1522' AS KeyFigureName,
'123456' AS ProcessingRunId, 
'12345' AS WaveId, 
Characteristic, BusinessObjectKey, 
Value AS Value 
FROM ZDATA 
ORDER BY BusinessObjectKey;</v>
      </c>
    </row>
    <row r="679" spans="1:19" x14ac:dyDescent="0.2">
      <c r="A679" s="4">
        <v>1523</v>
      </c>
      <c r="B679" s="3">
        <v>1</v>
      </c>
      <c r="C679" s="3" t="s">
        <v>1284</v>
      </c>
      <c r="D679" s="3" t="s">
        <v>89</v>
      </c>
      <c r="E679" s="3" t="s">
        <v>21</v>
      </c>
      <c r="F679" s="3" t="s">
        <v>398</v>
      </c>
      <c r="H679" s="3" t="s">
        <v>23</v>
      </c>
      <c r="I679" s="3" t="s">
        <v>21</v>
      </c>
      <c r="J679" s="3" t="s">
        <v>413</v>
      </c>
      <c r="K679" s="3" t="s">
        <v>414</v>
      </c>
      <c r="L679" s="3" t="s">
        <v>26</v>
      </c>
      <c r="M679" s="3" t="s">
        <v>27</v>
      </c>
      <c r="N679" s="3" t="s">
        <v>28</v>
      </c>
      <c r="S679" s="3" t="str">
        <f t="shared" si="10"/>
        <v>WITH ZDATA AS
(SELECT adm.UV_EINTRITTSART AS Value, 
'123' AS BusinessObjectKey, 
CASE WHEN adm.UV_EINTRITTSART=8 THEN 'EINTRITTSART_8' ELSE 'OTHER' 
END AS Characteristic
FROM ADMINISTRATIVES adm
) 
SELECT 'ANZ_1523' AS KeyFigureName,
'123456' AS ProcessingRunId, 
'12345' AS WaveId, 
Characteristic, BusinessObjectKey, 
COUNT(*) AS Value 
FROM ZDATA 
GROUP BY Characteristic, BusinessObjectKey
ORDER BY BusinessObjectKey;</v>
      </c>
    </row>
    <row r="680" spans="1:19" x14ac:dyDescent="0.2">
      <c r="A680" s="4">
        <v>1523</v>
      </c>
      <c r="B680" s="3">
        <v>1</v>
      </c>
      <c r="C680" s="3" t="s">
        <v>1284</v>
      </c>
      <c r="D680" s="3" t="s">
        <v>89</v>
      </c>
      <c r="E680" s="3" t="s">
        <v>21</v>
      </c>
      <c r="F680" s="3" t="s">
        <v>398</v>
      </c>
      <c r="H680" s="3" t="s">
        <v>23</v>
      </c>
      <c r="I680" s="3" t="s">
        <v>21</v>
      </c>
      <c r="J680" s="3" t="s">
        <v>415</v>
      </c>
      <c r="K680" s="3" t="s">
        <v>416</v>
      </c>
      <c r="L680" s="3" t="s">
        <v>26</v>
      </c>
      <c r="M680" s="3" t="s">
        <v>27</v>
      </c>
      <c r="N680" s="3" t="s">
        <v>28</v>
      </c>
      <c r="S680" s="3" t="str">
        <f t="shared" si="10"/>
        <v>WITH ZDATA AS
(SELECT adm.UV_EINTRITTSART AS Value, 
'123' AS BusinessObjectKey, 
CASE WHEN adm.UV_EINTRITTSART=9 THEN 'EINTRITTSART_9' ELSE 'OTHER' 
END AS Characteristic
FROM ADMINISTRATIVES adm
) 
SELECT 'ANZ_1523' AS KeyFigureName,
'123456' AS ProcessingRunId, 
'12345' AS WaveId, 
Characteristic, BusinessObjectKey, 
COUNT(*) AS Value 
FROM ZDATA 
GROUP BY Characteristic, BusinessObjectKey
ORDER BY BusinessObjectKey;</v>
      </c>
    </row>
    <row r="681" spans="1:19" x14ac:dyDescent="0.2">
      <c r="A681" s="4">
        <v>1523</v>
      </c>
      <c r="B681" s="3">
        <v>2</v>
      </c>
      <c r="C681" s="3" t="s">
        <v>1285</v>
      </c>
      <c r="D681" s="3" t="s">
        <v>1286</v>
      </c>
      <c r="E681" s="3" t="s">
        <v>21</v>
      </c>
      <c r="F681" s="3" t="s">
        <v>932</v>
      </c>
      <c r="G681" s="3" t="s">
        <v>40</v>
      </c>
      <c r="I681" s="3" t="s">
        <v>41</v>
      </c>
      <c r="M681" s="3" t="s">
        <v>1287</v>
      </c>
      <c r="N681" s="3" t="s">
        <v>43</v>
      </c>
      <c r="O681" s="3" t="s">
        <v>1288</v>
      </c>
      <c r="P681" s="3" t="s">
        <v>935</v>
      </c>
      <c r="S681" s="3" t="str">
        <f t="shared" si="10"/>
        <v>WITH ZDATA AS
(SELECT TRUNC(NVL(kfc.VALUE,0) / NVL(kfc_total.VALUE,0),10) AS Value, 
'123' AS BusinessObjectKey, 
kfc.CHARACTERISTIC AS Characteristic
FROM ANZ_1523 kfc
JOIN ANZ_1523 kfc_total ON kfc_total.CHARACTERISTIC = 'TOTAL' AND kfc.CHARACTERISTIC &lt;&gt; 'TOTAL'
WHERE kfc_total.VALUE &lt;&gt; 0 AND kfc_total.VALUE IS NOT NULL
) 
SELECT 'ANTEIL_1523' AS KeyFigureName,
'123456' AS ProcessingRunId, 
'12345' AS WaveId, 
Characteristic, BusinessObjectKey, 
Value AS Value 
FROM ZDATA 
ORDER BY BusinessObjectKey;</v>
      </c>
    </row>
    <row r="682" spans="1:19" x14ac:dyDescent="0.2">
      <c r="A682" s="4">
        <v>1524</v>
      </c>
      <c r="B682" s="3">
        <v>1</v>
      </c>
      <c r="C682" s="3" t="s">
        <v>1289</v>
      </c>
      <c r="D682" s="3" t="s">
        <v>89</v>
      </c>
      <c r="E682" s="3" t="s">
        <v>21</v>
      </c>
      <c r="F682" s="3" t="s">
        <v>423</v>
      </c>
      <c r="H682" s="3" t="s">
        <v>23</v>
      </c>
      <c r="I682" s="3" t="s">
        <v>21</v>
      </c>
      <c r="J682" s="3" t="s">
        <v>438</v>
      </c>
      <c r="K682" s="3" t="s">
        <v>439</v>
      </c>
      <c r="L682" s="3" t="s">
        <v>26</v>
      </c>
      <c r="M682" s="3" t="s">
        <v>27</v>
      </c>
      <c r="N682" s="3" t="s">
        <v>28</v>
      </c>
      <c r="S682" s="3" t="str">
        <f t="shared" si="10"/>
        <v>WITH ZDATA AS
(SELECT adm.UV_EINTRITT_AUFENTHALT AS Value, 
'123' AS BusinessObjectKey, 
CASE WHEN adm.UV_EINTRITT_AUFENTHALT=9 THEN 'EINTRITT_AUFENTHALT_9' ELSE 'OTHER' 
END AS Characteristic
FROM ADMINISTRATIVES adm
) 
SELECT 'ANZ_1524' AS KeyFigureName,
'123456' AS ProcessingRunId, 
'12345' AS WaveId, 
Characteristic, BusinessObjectKey, 
COUNT(*) AS Value 
FROM ZDATA 
GROUP BY Characteristic, BusinessObjectKey
ORDER BY BusinessObjectKey;</v>
      </c>
    </row>
    <row r="683" spans="1:19" x14ac:dyDescent="0.2">
      <c r="A683" s="4">
        <v>1524</v>
      </c>
      <c r="B683" s="3">
        <v>2</v>
      </c>
      <c r="C683" s="3" t="s">
        <v>1290</v>
      </c>
      <c r="D683" s="3" t="s">
        <v>1291</v>
      </c>
      <c r="E683" s="3" t="s">
        <v>21</v>
      </c>
      <c r="F683" s="3" t="s">
        <v>932</v>
      </c>
      <c r="G683" s="3" t="s">
        <v>40</v>
      </c>
      <c r="I683" s="3" t="s">
        <v>41</v>
      </c>
      <c r="M683" s="3" t="s">
        <v>1292</v>
      </c>
      <c r="N683" s="3" t="s">
        <v>43</v>
      </c>
      <c r="O683" s="3" t="s">
        <v>1293</v>
      </c>
      <c r="P683" s="3" t="s">
        <v>935</v>
      </c>
      <c r="S683" s="3" t="str">
        <f t="shared" si="10"/>
        <v>WITH ZDATA AS
(SELECT TRUNC(NVL(kfc.VALUE,0) / NVL(kfc_total.VALUE,0),10) AS Value, 
'123' AS BusinessObjectKey, 
kfc.CHARACTERISTIC AS Characteristic
FROM ANZ_1524 kfc
JOIN ANZ_1524 kfc_total ON kfc_total.CHARACTERISTIC = 'TOTAL' AND kfc.CHARACTERISTIC &lt;&gt; 'TOTAL'
WHERE kfc_total.VALUE &lt;&gt; 0 AND kfc_total.VALUE IS NOT NULL
) 
SELECT 'ANTEIL_1524' AS KeyFigureName,
'123456' AS ProcessingRunId, 
'12345' AS WaveId, 
Characteristic, BusinessObjectKey, 
Value AS Value 
FROM ZDATA 
ORDER BY BusinessObjectKey;</v>
      </c>
    </row>
    <row r="684" spans="1:19" x14ac:dyDescent="0.2">
      <c r="A684" s="4">
        <v>1525</v>
      </c>
      <c r="B684" s="3">
        <v>1</v>
      </c>
      <c r="C684" s="3" t="s">
        <v>1294</v>
      </c>
      <c r="D684" s="3" t="s">
        <v>89</v>
      </c>
      <c r="E684" s="3" t="s">
        <v>21</v>
      </c>
      <c r="F684" s="3" t="s">
        <v>446</v>
      </c>
      <c r="H684" s="3" t="s">
        <v>23</v>
      </c>
      <c r="I684" s="3" t="s">
        <v>21</v>
      </c>
      <c r="J684" s="3" t="s">
        <v>1295</v>
      </c>
      <c r="K684" s="3" t="s">
        <v>460</v>
      </c>
      <c r="L684" s="3" t="s">
        <v>26</v>
      </c>
      <c r="M684" s="3" t="s">
        <v>27</v>
      </c>
      <c r="N684" s="3" t="s">
        <v>28</v>
      </c>
      <c r="S684" s="3" t="str">
        <f t="shared" si="10"/>
        <v>WITH ZDATA AS
(SELECT adm.UV_EINW_INSTANZ AS Value, 
'123' AS BusinessObjectKey, 
CASE WHEN adm.UV_EINW_INSTANZ=8 THEN 'EINW_INSTANZ_8' ELSE 'OTHER' 
END AS Characteristic
FROM ADMINISTRATIVES adm
) 
SELECT 'ANZ_1525' AS KeyFigureName,
'123456' AS ProcessingRunId, 
'12345' AS WaveId, 
Characteristic, BusinessObjectKey, 
COUNT(*) AS Value 
FROM ZDATA 
GROUP BY Characteristic, BusinessObjectKey
ORDER BY BusinessObjectKey;</v>
      </c>
    </row>
    <row r="685" spans="1:19" x14ac:dyDescent="0.2">
      <c r="A685" s="4">
        <v>1525</v>
      </c>
      <c r="B685" s="3">
        <v>1</v>
      </c>
      <c r="C685" s="3" t="s">
        <v>1294</v>
      </c>
      <c r="D685" s="3" t="s">
        <v>89</v>
      </c>
      <c r="E685" s="3" t="s">
        <v>21</v>
      </c>
      <c r="F685" s="3" t="s">
        <v>446</v>
      </c>
      <c r="H685" s="3" t="s">
        <v>23</v>
      </c>
      <c r="I685" s="3" t="s">
        <v>21</v>
      </c>
      <c r="J685" s="3" t="s">
        <v>1296</v>
      </c>
      <c r="K685" s="3" t="s">
        <v>462</v>
      </c>
      <c r="L685" s="3" t="s">
        <v>26</v>
      </c>
      <c r="M685" s="3" t="s">
        <v>27</v>
      </c>
      <c r="N685" s="3" t="s">
        <v>28</v>
      </c>
      <c r="S685" s="3" t="str">
        <f t="shared" si="10"/>
        <v>WITH ZDATA AS
(SELECT adm.UV_EINW_INSTANZ AS Value, 
'123' AS BusinessObjectKey, 
CASE WHEN adm.UV_EINW_INSTANZ=9 THEN 'EINW_INSTANZ_9' ELSE 'OTHER' 
END AS Characteristic
FROM ADMINISTRATIVES adm
) 
SELECT 'ANZ_1525' AS KeyFigureName,
'123456' AS ProcessingRunId, 
'12345' AS WaveId, 
Characteristic, BusinessObjectKey, 
COUNT(*) AS Value 
FROM ZDATA 
GROUP BY Characteristic, BusinessObjectKey
ORDER BY BusinessObjectKey;</v>
      </c>
    </row>
    <row r="686" spans="1:19" x14ac:dyDescent="0.2">
      <c r="A686" s="4">
        <v>1525</v>
      </c>
      <c r="B686" s="3">
        <v>2</v>
      </c>
      <c r="C686" s="3" t="s">
        <v>1297</v>
      </c>
      <c r="D686" s="3" t="s">
        <v>1298</v>
      </c>
      <c r="E686" s="3" t="s">
        <v>21</v>
      </c>
      <c r="F686" s="3" t="s">
        <v>932</v>
      </c>
      <c r="G686" s="3" t="s">
        <v>40</v>
      </c>
      <c r="I686" s="3" t="s">
        <v>41</v>
      </c>
      <c r="M686" s="3" t="s">
        <v>1299</v>
      </c>
      <c r="N686" s="3" t="s">
        <v>43</v>
      </c>
      <c r="O686" s="3" t="s">
        <v>1300</v>
      </c>
      <c r="P686" s="3" t="s">
        <v>935</v>
      </c>
      <c r="S686" s="3" t="str">
        <f t="shared" si="10"/>
        <v>WITH ZDATA AS
(SELECT TRUNC(NVL(kfc.VALUE,0) / NVL(kfc_total.VALUE,0),10) AS Value, 
'123' AS BusinessObjectKey, 
kfc.CHARACTERISTIC AS Characteristic
FROM ANZ_1525 kfc
JOIN ANZ_1525 kfc_total ON kfc_total.CHARACTERISTIC = 'TOTAL' AND kfc.CHARACTERISTIC &lt;&gt; 'TOTAL'
WHERE kfc_total.VALUE &lt;&gt; 0 AND kfc_total.VALUE IS NOT NULL
) 
SELECT 'ANTEIL_1525' AS KeyFigureName,
'123456' AS ProcessingRunId, 
'12345' AS WaveId, 
Characteristic, BusinessObjectKey, 
Value AS Value 
FROM ZDATA 
ORDER BY BusinessObjectKey;</v>
      </c>
    </row>
    <row r="687" spans="1:19" x14ac:dyDescent="0.2">
      <c r="A687" s="4">
        <v>1526</v>
      </c>
      <c r="B687" s="3">
        <v>1</v>
      </c>
      <c r="C687" s="3" t="s">
        <v>1301</v>
      </c>
      <c r="D687" s="3" t="s">
        <v>89</v>
      </c>
      <c r="E687" s="3" t="s">
        <v>21</v>
      </c>
      <c r="F687" s="3" t="s">
        <v>505</v>
      </c>
      <c r="H687" s="3" t="s">
        <v>23</v>
      </c>
      <c r="I687" s="3" t="s">
        <v>21</v>
      </c>
      <c r="J687" s="3" t="s">
        <v>516</v>
      </c>
      <c r="K687" s="3" t="s">
        <v>517</v>
      </c>
      <c r="L687" s="3" t="s">
        <v>26</v>
      </c>
      <c r="M687" s="3" t="s">
        <v>27</v>
      </c>
      <c r="N687" s="3" t="s">
        <v>28</v>
      </c>
      <c r="P687" s="3" t="s">
        <v>92</v>
      </c>
      <c r="S687" s="3" t="str">
        <f t="shared" si="10"/>
        <v>WITH ZDATA AS
(SELECT adm.UV_AUSTRITTSENTSCHEID AS Value, 
'123' AS BusinessObjectKey, 
CASE WHEN adm.UV_AUSTRITTSENTSCHEID=8 THEN 'AUSTRITTSENTSCHEID_8' ELSE 'OTHER' 
END AS Characteristic
FROM ADMINISTRATIVES adm
WHERE adm.UV_ABC_FALL= 'A'
) 
SELECT 'ANZ_1526' AS KeyFigureName,
'123456' AS ProcessingRunId, 
'12345' AS WaveId, 
Characteristic, BusinessObjectKey, 
COUNT(*) AS Value 
FROM ZDATA 
GROUP BY Characteristic, BusinessObjectKey
ORDER BY BusinessObjectKey;</v>
      </c>
    </row>
    <row r="688" spans="1:19" x14ac:dyDescent="0.2">
      <c r="A688" s="4">
        <v>1526</v>
      </c>
      <c r="B688" s="3">
        <v>1</v>
      </c>
      <c r="C688" s="3" t="s">
        <v>1301</v>
      </c>
      <c r="D688" s="3" t="s">
        <v>89</v>
      </c>
      <c r="E688" s="3" t="s">
        <v>21</v>
      </c>
      <c r="F688" s="3" t="s">
        <v>505</v>
      </c>
      <c r="H688" s="3" t="s">
        <v>23</v>
      </c>
      <c r="I688" s="3" t="s">
        <v>21</v>
      </c>
      <c r="J688" s="3" t="s">
        <v>518</v>
      </c>
      <c r="K688" s="3" t="s">
        <v>519</v>
      </c>
      <c r="L688" s="3" t="s">
        <v>26</v>
      </c>
      <c r="M688" s="3" t="s">
        <v>27</v>
      </c>
      <c r="N688" s="3" t="s">
        <v>28</v>
      </c>
      <c r="P688" s="3" t="s">
        <v>92</v>
      </c>
      <c r="S688" s="3" t="str">
        <f t="shared" si="10"/>
        <v>WITH ZDATA AS
(SELECT adm.UV_AUSTRITTSENTSCHEID AS Value, 
'123' AS BusinessObjectKey, 
CASE WHEN adm.UV_AUSTRITTSENTSCHEID=9 THEN 'AUSTRITTSENTSCHEID_9' ELSE 'OTHER' 
END AS Characteristic
FROM ADMINISTRATIVES adm
WHERE adm.UV_ABC_FALL= 'A'
) 
SELECT 'ANZ_1526' AS KeyFigureName,
'123456' AS ProcessingRunId, 
'12345' AS WaveId, 
Characteristic, BusinessObjectKey, 
COUNT(*) AS Value 
FROM ZDATA 
GROUP BY Characteristic, BusinessObjectKey
ORDER BY BusinessObjectKey;</v>
      </c>
    </row>
    <row r="689" spans="1:19" x14ac:dyDescent="0.2">
      <c r="A689" s="4">
        <v>1526</v>
      </c>
      <c r="B689" s="3">
        <v>2</v>
      </c>
      <c r="C689" s="3" t="s">
        <v>1302</v>
      </c>
      <c r="D689" s="3" t="s">
        <v>1303</v>
      </c>
      <c r="E689" s="3" t="s">
        <v>21</v>
      </c>
      <c r="F689" s="3" t="s">
        <v>932</v>
      </c>
      <c r="G689" s="3" t="s">
        <v>40</v>
      </c>
      <c r="I689" s="3" t="s">
        <v>41</v>
      </c>
      <c r="M689" s="3" t="s">
        <v>1304</v>
      </c>
      <c r="N689" s="3" t="s">
        <v>43</v>
      </c>
      <c r="O689" s="3" t="s">
        <v>1305</v>
      </c>
      <c r="P689" s="3" t="s">
        <v>935</v>
      </c>
      <c r="S689" s="3" t="str">
        <f t="shared" si="10"/>
        <v>WITH ZDATA AS
(SELECT TRUNC(NVL(kfc.VALUE,0) / NVL(kfc_total.VALUE,0),10) AS Value, 
'123' AS BusinessObjectKey, 
kfc.CHARACTERISTIC AS Characteristic
FROM ANZ_1526 kfc
JOIN ANZ_1526 kfc_total ON kfc_total.CHARACTERISTIC = 'TOTAL' AND kfc.CHARACTERISTIC &lt;&gt; 'TOTAL'
WHERE kfc_total.VALUE &lt;&gt; 0 AND kfc_total.VALUE IS NOT NULL
) 
SELECT 'ANTEIL_1526' AS KeyFigureName,
'123456' AS ProcessingRunId, 
'12345' AS WaveId, 
Characteristic, BusinessObjectKey, 
Value AS Value 
FROM ZDATA 
ORDER BY BusinessObjectKey;</v>
      </c>
    </row>
    <row r="690" spans="1:19" x14ac:dyDescent="0.2">
      <c r="A690" s="4">
        <v>1527</v>
      </c>
      <c r="B690" s="3">
        <v>1</v>
      </c>
      <c r="C690" s="3" t="s">
        <v>1306</v>
      </c>
      <c r="D690" s="3" t="s">
        <v>89</v>
      </c>
      <c r="E690" s="3" t="s">
        <v>21</v>
      </c>
      <c r="F690" s="3" t="s">
        <v>526</v>
      </c>
      <c r="H690" s="3" t="s">
        <v>23</v>
      </c>
      <c r="I690" s="3" t="s">
        <v>21</v>
      </c>
      <c r="J690" s="3" t="s">
        <v>541</v>
      </c>
      <c r="K690" s="3" t="s">
        <v>542</v>
      </c>
      <c r="L690" s="3" t="s">
        <v>26</v>
      </c>
      <c r="M690" s="3" t="s">
        <v>27</v>
      </c>
      <c r="N690" s="3" t="s">
        <v>28</v>
      </c>
      <c r="P690" s="3" t="s">
        <v>92</v>
      </c>
      <c r="S690" s="3" t="str">
        <f t="shared" si="10"/>
        <v>WITH ZDATA AS
(SELECT adm.UV_AUSTRITT_AUFENTHALT AS Value, 
'123' AS BusinessObjectKey, 
CASE WHEN adm.UV_AUSTRITT_AUFENTHALT=8 THEN 'AUSTRITT_AUFENTHALT_8' ELSE 'OTHER' 
END AS Characteristic
FROM ADMINISTRATIVES adm
WHERE adm.UV_ABC_FALL= 'A'
) 
SELECT 'ANZ_1527' AS KeyFigureName,
'123456' AS ProcessingRunId, 
'12345' AS WaveId, 
Characteristic, BusinessObjectKey, 
COUNT(*) AS Value 
FROM ZDATA 
GROUP BY Characteristic, BusinessObjectKey
ORDER BY BusinessObjectKey;</v>
      </c>
    </row>
    <row r="691" spans="1:19" x14ac:dyDescent="0.2">
      <c r="A691" s="4">
        <v>1527</v>
      </c>
      <c r="B691" s="3">
        <v>1</v>
      </c>
      <c r="C691" s="3" t="s">
        <v>1306</v>
      </c>
      <c r="D691" s="3" t="s">
        <v>89</v>
      </c>
      <c r="E691" s="3" t="s">
        <v>21</v>
      </c>
      <c r="F691" s="3" t="s">
        <v>526</v>
      </c>
      <c r="H691" s="3" t="s">
        <v>23</v>
      </c>
      <c r="I691" s="3" t="s">
        <v>21</v>
      </c>
      <c r="J691" s="3" t="s">
        <v>543</v>
      </c>
      <c r="K691" s="3" t="s">
        <v>544</v>
      </c>
      <c r="L691" s="3" t="s">
        <v>26</v>
      </c>
      <c r="M691" s="3" t="s">
        <v>27</v>
      </c>
      <c r="N691" s="3" t="s">
        <v>28</v>
      </c>
      <c r="P691" s="3" t="s">
        <v>92</v>
      </c>
      <c r="S691" s="3" t="str">
        <f t="shared" si="10"/>
        <v>WITH ZDATA AS
(SELECT adm.UV_AUSTRITT_AUFENTHALT AS Value, 
'123' AS BusinessObjectKey, 
CASE WHEN adm.UV_AUSTRITT_AUFENTHALT=9 THEN 'AUSTRITT_AUFENTHALT_9' ELSE 'OTHER' 
END AS Characteristic
FROM ADMINISTRATIVES adm
WHERE adm.UV_ABC_FALL= 'A'
) 
SELECT 'ANZ_1527' AS KeyFigureName,
'123456' AS ProcessingRunId, 
'12345' AS WaveId, 
Characteristic, BusinessObjectKey, 
COUNT(*) AS Value 
FROM ZDATA 
GROUP BY Characteristic, BusinessObjectKey
ORDER BY BusinessObjectKey;</v>
      </c>
    </row>
    <row r="692" spans="1:19" x14ac:dyDescent="0.2">
      <c r="A692" s="4">
        <v>1527</v>
      </c>
      <c r="B692" s="3">
        <v>2</v>
      </c>
      <c r="C692" s="3" t="s">
        <v>1307</v>
      </c>
      <c r="D692" s="3" t="s">
        <v>1308</v>
      </c>
      <c r="E692" s="3" t="s">
        <v>21</v>
      </c>
      <c r="F692" s="3" t="s">
        <v>932</v>
      </c>
      <c r="G692" s="3" t="s">
        <v>40</v>
      </c>
      <c r="I692" s="3" t="s">
        <v>41</v>
      </c>
      <c r="M692" s="3" t="s">
        <v>1309</v>
      </c>
      <c r="N692" s="3" t="s">
        <v>43</v>
      </c>
      <c r="O692" s="3" t="s">
        <v>1310</v>
      </c>
      <c r="P692" s="3" t="s">
        <v>935</v>
      </c>
      <c r="S692" s="3" t="str">
        <f t="shared" si="10"/>
        <v>WITH ZDATA AS
(SELECT TRUNC(NVL(kfc.VALUE,0) / NVL(kfc_total.VALUE,0),10) AS Value, 
'123' AS BusinessObjectKey, 
kfc.CHARACTERISTIC AS Characteristic
FROM ANZ_1527 kfc
JOIN ANZ_1527 kfc_total ON kfc_total.CHARACTERISTIC = 'TOTAL' AND kfc.CHARACTERISTIC &lt;&gt; 'TOTAL'
WHERE kfc_total.VALUE &lt;&gt; 0 AND kfc_total.VALUE IS NOT NULL
) 
SELECT 'ANTEIL_1527' AS KeyFigureName,
'123456' AS ProcessingRunId, 
'12345' AS WaveId, 
Characteristic, BusinessObjectKey, 
Value AS Value 
FROM ZDATA 
ORDER BY BusinessObjectKey;</v>
      </c>
    </row>
    <row r="693" spans="1:19" x14ac:dyDescent="0.2">
      <c r="A693" s="4">
        <v>1528</v>
      </c>
      <c r="B693" s="3">
        <v>1</v>
      </c>
      <c r="C693" s="3" t="s">
        <v>1311</v>
      </c>
      <c r="D693" s="3" t="s">
        <v>137</v>
      </c>
      <c r="E693" s="3" t="s">
        <v>21</v>
      </c>
      <c r="F693" s="3" t="s">
        <v>574</v>
      </c>
      <c r="H693" s="3" t="s">
        <v>23</v>
      </c>
      <c r="I693" s="3" t="s">
        <v>21</v>
      </c>
      <c r="J693" s="3" t="s">
        <v>1312</v>
      </c>
      <c r="K693" s="3" t="s">
        <v>1313</v>
      </c>
      <c r="L693" s="3" t="s">
        <v>26</v>
      </c>
      <c r="M693" s="3" t="s">
        <v>27</v>
      </c>
      <c r="N693" s="3" t="s">
        <v>28</v>
      </c>
      <c r="O693" s="3" t="s">
        <v>141</v>
      </c>
      <c r="P693" s="3" t="s">
        <v>140</v>
      </c>
      <c r="S693" s="3" t="str">
        <f t="shared" si="10"/>
        <v>WITH ZDATA AS
(SELECT drg.CF AS Value, 
'123' AS BusinessObjectKey, 
CASE WHEN drg.CF = '05' THEN 'UNBEWERTET' ELSE 'OTHER' 
END AS Characteristic
FROM ADMINISTRATIVES adm
JOIN GROUPER_DRG drg ON adm.FALL_KEY = drg.KEY
WHERE adm.UV_TARIF = 1
) 
SELECT 'ANZ_1528' AS KeyFigureName,
'123456' AS ProcessingRunId, 
'12345' AS WaveId, 
Characteristic, BusinessObjectKey, 
COUNT(*) AS Value 
FROM ZDATA 
GROUP BY Characteristic, BusinessObjectKey
ORDER BY BusinessObjectKey;</v>
      </c>
    </row>
    <row r="694" spans="1:19" x14ac:dyDescent="0.2">
      <c r="A694" s="4">
        <v>1528</v>
      </c>
      <c r="B694" s="3">
        <v>2</v>
      </c>
      <c r="C694" s="3" t="s">
        <v>1314</v>
      </c>
      <c r="D694" s="3" t="s">
        <v>1315</v>
      </c>
      <c r="E694" s="3" t="s">
        <v>21</v>
      </c>
      <c r="F694" s="3" t="s">
        <v>932</v>
      </c>
      <c r="G694" s="3" t="s">
        <v>40</v>
      </c>
      <c r="I694" s="3" t="s">
        <v>41</v>
      </c>
      <c r="M694" s="3" t="s">
        <v>1316</v>
      </c>
      <c r="N694" s="3" t="s">
        <v>43</v>
      </c>
      <c r="O694" s="3" t="s">
        <v>1317</v>
      </c>
      <c r="P694" s="3" t="s">
        <v>935</v>
      </c>
      <c r="S694" s="3" t="str">
        <f t="shared" si="10"/>
        <v>WITH ZDATA AS
(SELECT TRUNC(NVL(kfc.VALUE,0) / NVL(kfc_total.VALUE,0),10) AS Value, 
'123' AS BusinessObjectKey, 
kfc.CHARACTERISTIC AS Characteristic
FROM ANZ_1528 kfc
JOIN ANZ_1528 kfc_total ON kfc_total.CHARACTERISTIC = 'TOTAL' AND kfc.CHARACTERISTIC &lt;&gt; 'TOTAL'
WHERE kfc_total.VALUE &lt;&gt; 0 AND kfc_total.VALUE IS NOT NULL
) 
SELECT 'ANTEIL_1528' AS KeyFigureName,
'123456' AS ProcessingRunId, 
'12345' AS WaveId, 
Characteristic, BusinessObjectKey, 
Value AS Value 
FROM ZDATA 
ORDER BY BusinessObjectKey;</v>
      </c>
    </row>
    <row r="695" spans="1:19" x14ac:dyDescent="0.2">
      <c r="A695" s="4">
        <v>1529</v>
      </c>
      <c r="B695" s="3">
        <v>1</v>
      </c>
      <c r="C695" s="3" t="s">
        <v>1318</v>
      </c>
      <c r="D695" s="3" t="s">
        <v>89</v>
      </c>
      <c r="E695" s="3" t="s">
        <v>21</v>
      </c>
      <c r="F695" s="3" t="s">
        <v>859</v>
      </c>
      <c r="H695" s="3" t="s">
        <v>23</v>
      </c>
      <c r="I695" s="3" t="s">
        <v>21</v>
      </c>
      <c r="J695" s="3" t="s">
        <v>1319</v>
      </c>
      <c r="K695" s="3" t="s">
        <v>1320</v>
      </c>
      <c r="L695" s="3" t="s">
        <v>26</v>
      </c>
      <c r="M695" s="3" t="s">
        <v>27</v>
      </c>
      <c r="N695" s="3" t="s">
        <v>28</v>
      </c>
      <c r="S695" s="3" t="str">
        <f t="shared" si="10"/>
        <v>WITH ZDATA AS
(SELECT adm.UV_NATIONALITAET AS Value, 
'123' AS BusinessObjectKey, 
CASE WHEN adm.UV_NATIONALITAET='999' THEN 'NATIONALITAET_999' ELSE 'OTHER' 
END AS Characteristic
FROM ADMINISTRATIVES adm
) 
SELECT 'ANZ_1529' AS KeyFigureName,
'123456' AS ProcessingRunId, 
'12345' AS WaveId, 
Characteristic, BusinessObjectKey, 
COUNT(*) AS Value 
FROM ZDATA 
GROUP BY Characteristic, BusinessObjectKey
ORDER BY BusinessObjectKey;</v>
      </c>
    </row>
    <row r="696" spans="1:19" x14ac:dyDescent="0.2">
      <c r="A696" s="4">
        <v>1529</v>
      </c>
      <c r="B696" s="3">
        <v>2</v>
      </c>
      <c r="C696" s="3" t="s">
        <v>1321</v>
      </c>
      <c r="D696" s="3" t="s">
        <v>1322</v>
      </c>
      <c r="E696" s="3" t="s">
        <v>21</v>
      </c>
      <c r="F696" s="3" t="s">
        <v>932</v>
      </c>
      <c r="G696" s="3" t="s">
        <v>40</v>
      </c>
      <c r="I696" s="3" t="s">
        <v>41</v>
      </c>
      <c r="M696" s="3" t="s">
        <v>1323</v>
      </c>
      <c r="N696" s="3" t="s">
        <v>43</v>
      </c>
      <c r="O696" s="3" t="s">
        <v>1324</v>
      </c>
      <c r="P696" s="3" t="s">
        <v>935</v>
      </c>
      <c r="S696" s="3" t="str">
        <f t="shared" si="10"/>
        <v>WITH ZDATA AS
(SELECT TRUNC(NVL(kfc.VALUE,0) / NVL(kfc_total.VALUE,0),10) AS Value, 
'123' AS BusinessObjectKey, 
kfc.CHARACTERISTIC AS Characteristic
FROM ANZ_1529 kfc
JOIN ANZ_1529 kfc_total ON kfc_total.CHARACTERISTIC = 'TOTAL' AND kfc.CHARACTERISTIC &lt;&gt; 'TOTAL'
WHERE kfc_total.VALUE &lt;&gt; 0 AND kfc_total.VALUE IS NOT NULL
) 
SELECT 'ANTEIL_1529' AS KeyFigureName,
'123456' AS ProcessingRunId, 
'12345' AS WaveId, 
Characteristic, BusinessObjectKey, 
Value AS Value 
FROM ZDATA 
ORDER BY BusinessObjectKey;</v>
      </c>
    </row>
    <row r="697" spans="1:19" x14ac:dyDescent="0.2">
      <c r="A697" s="4">
        <v>1530</v>
      </c>
      <c r="B697" s="3">
        <v>1</v>
      </c>
      <c r="C697" s="3" t="s">
        <v>1325</v>
      </c>
      <c r="D697" s="3" t="s">
        <v>1326</v>
      </c>
      <c r="E697" s="3" t="s">
        <v>21</v>
      </c>
      <c r="F697" s="3" t="s">
        <v>1327</v>
      </c>
      <c r="H697" s="3" t="s">
        <v>23</v>
      </c>
      <c r="I697" s="3" t="s">
        <v>21</v>
      </c>
      <c r="J697" s="3" t="s">
        <v>1328</v>
      </c>
      <c r="K697" s="3" t="s">
        <v>1329</v>
      </c>
      <c r="L697" s="3" t="s">
        <v>26</v>
      </c>
      <c r="M697" s="3" t="s">
        <v>27</v>
      </c>
      <c r="N697" s="3" t="s">
        <v>28</v>
      </c>
      <c r="O697" s="3" t="s">
        <v>1330</v>
      </c>
      <c r="P697" s="3" t="s">
        <v>1003</v>
      </c>
      <c r="S697" s="3" t="str">
        <f t="shared" si="10"/>
        <v>WITH ZDATA AS
(SELECT neu.UV_VITALSTATUS AS Value, 
'123' AS BusinessObjectKey, 
CASE WHEN neu.UV_VITALSTATUS=0 THEN 'VITALSTATUS_0' ELSE 'OTHER' 
END AS Characteristic
FROM ADMINISTRATIVES adm
JOIN NEUGEBORENE neu ON adm.UV_FALL_ID=neu.UV_FALL_ID AND adm.UV_BURNR=neu.UV_BURNR
WHERE adm.UV_ABC_FALL='A'
) 
SELECT 'ANZ_1530' AS KeyFigureName,
'123456' AS ProcessingRunId, 
'12345' AS WaveId, 
Characteristic, BusinessObjectKey, 
COUNT(*) AS Value 
FROM ZDATA 
GROUP BY Characteristic, BusinessObjectKey
ORDER BY BusinessObjectKey;</v>
      </c>
    </row>
    <row r="698" spans="1:19" x14ac:dyDescent="0.2">
      <c r="A698" s="4">
        <v>1530</v>
      </c>
      <c r="B698" s="3">
        <v>2</v>
      </c>
      <c r="C698" s="3" t="s">
        <v>1331</v>
      </c>
      <c r="D698" s="3" t="s">
        <v>1332</v>
      </c>
      <c r="E698" s="3" t="s">
        <v>21</v>
      </c>
      <c r="F698" s="3" t="s">
        <v>932</v>
      </c>
      <c r="G698" s="3" t="s">
        <v>40</v>
      </c>
      <c r="I698" s="3" t="s">
        <v>41</v>
      </c>
      <c r="M698" s="3" t="s">
        <v>1333</v>
      </c>
      <c r="N698" s="3" t="s">
        <v>43</v>
      </c>
      <c r="O698" s="3" t="s">
        <v>1334</v>
      </c>
      <c r="P698" s="3" t="s">
        <v>935</v>
      </c>
      <c r="S698" s="3" t="str">
        <f t="shared" si="10"/>
        <v>WITH ZDATA AS
(SELECT TRUNC(NVL(kfc.VALUE,0) / NVL(kfc_total.VALUE,0),10) AS Value, 
'123' AS BusinessObjectKey, 
kfc.CHARACTERISTIC AS Characteristic
FROM ANZ_1530 kfc
JOIN ANZ_1530 kfc_total ON kfc_total.CHARACTERISTIC = 'TOTAL' AND kfc.CHARACTERISTIC &lt;&gt; 'TOTAL'
WHERE kfc_total.VALUE &lt;&gt; 0 AND kfc_total.VALUE IS NOT NULL
) 
SELECT 'ANTEIL_1530' AS KeyFigureName,
'123456' AS ProcessingRunId, 
'12345' AS WaveId, 
Characteristic, BusinessObjectKey, 
Value AS Value 
FROM ZDATA 
ORDER BY BusinessObjectKey;</v>
      </c>
    </row>
    <row r="699" spans="1:19" x14ac:dyDescent="0.2">
      <c r="A699" s="4">
        <v>1531</v>
      </c>
      <c r="B699" s="3">
        <v>1</v>
      </c>
      <c r="C699" s="3" t="s">
        <v>1335</v>
      </c>
      <c r="D699" s="3" t="s">
        <v>1336</v>
      </c>
      <c r="E699" s="3" t="s">
        <v>21</v>
      </c>
      <c r="F699" s="3" t="s">
        <v>1337</v>
      </c>
      <c r="H699" s="3" t="s">
        <v>61</v>
      </c>
      <c r="I699" s="3" t="s">
        <v>21</v>
      </c>
      <c r="J699" s="3" t="s">
        <v>62</v>
      </c>
      <c r="K699" s="3" t="s">
        <v>63</v>
      </c>
      <c r="L699" s="3" t="s">
        <v>26</v>
      </c>
      <c r="M699" s="3" t="s">
        <v>1338</v>
      </c>
      <c r="N699" s="3" t="s">
        <v>28</v>
      </c>
      <c r="S699" s="3" t="str">
        <f t="shared" si="10"/>
        <v>WITH ZDATA AS
(SELECT NVL(ks.UV_BEBU_17_21_26,0)+NVL(ks.UV_BEBU_17_21_28,0)+NVL(ks.UV_BEBU_17_21_29,0) AS Value, 
'123' AS BusinessObjectKey, 
CASE WHEN 1=1 THEN 'ANLAGENUTZUNGSKOSTEN' ELSE 'OTHER' 
END AS Characteristic
FROM KSEXPENSEACCOUNTINGS ks
) 
SELECT 'SUM_1531_BEBU' AS KeyFigureName,
'123456' AS ProcessingRunId, 
'12345' AS WaveId, 
Characteristic, BusinessObjectKey, 
SUM(Value) AS Value 
FROM ZDATA 
GROUP BY Characteristic, BusinessObjectKey
ORDER BY BusinessObjectKey;</v>
      </c>
    </row>
    <row r="700" spans="1:19" x14ac:dyDescent="0.2">
      <c r="A700" s="4">
        <v>1531</v>
      </c>
      <c r="B700" s="3">
        <v>1</v>
      </c>
      <c r="C700" s="3" t="s">
        <v>1339</v>
      </c>
      <c r="D700" s="3" t="s">
        <v>59</v>
      </c>
      <c r="E700" s="3" t="s">
        <v>21</v>
      </c>
      <c r="F700" s="3" t="s">
        <v>74</v>
      </c>
      <c r="H700" s="3" t="s">
        <v>61</v>
      </c>
      <c r="I700" s="3" t="s">
        <v>21</v>
      </c>
      <c r="J700" s="3" t="s">
        <v>62</v>
      </c>
      <c r="K700" s="3" t="s">
        <v>63</v>
      </c>
      <c r="L700" s="3" t="s">
        <v>26</v>
      </c>
      <c r="M700" s="3" t="s">
        <v>64</v>
      </c>
      <c r="N700" s="3" t="s">
        <v>28</v>
      </c>
      <c r="S700" s="3" t="str">
        <f t="shared" si="10"/>
        <v>WITH ZDATA AS
(SELECT NVL(ktf.UV_KTR_44_VKL,0) AS Value, 
'123' AS BusinessObjectKey, 
CASE WHEN 1=1 THEN 'ANLAGENUTZUNGSKOSTEN' ELSE 'OTHER' 
END AS Characteristic
FROM KOSTENTRAEGERFALL ktf
) 
SELECT 'SUM_1531_KTF' AS KeyFigureName,
'123456' AS ProcessingRunId, 
'12345' AS WaveId, 
Characteristic, BusinessObjectKey, 
SUM(Value) AS Value 
FROM ZDATA 
GROUP BY Characteristic, BusinessObjectKey
ORDER BY BusinessObjectKey;</v>
      </c>
    </row>
    <row r="701" spans="1:19" x14ac:dyDescent="0.2">
      <c r="A701" s="4">
        <v>1531</v>
      </c>
      <c r="B701" s="3">
        <v>1</v>
      </c>
      <c r="C701" s="3" t="s">
        <v>1340</v>
      </c>
      <c r="D701" s="3" t="s">
        <v>66</v>
      </c>
      <c r="E701" s="3" t="s">
        <v>41</v>
      </c>
      <c r="F701" s="3" t="s">
        <v>76</v>
      </c>
      <c r="H701" s="3" t="s">
        <v>61</v>
      </c>
      <c r="I701" s="3" t="s">
        <v>21</v>
      </c>
      <c r="J701" s="3" t="s">
        <v>62</v>
      </c>
      <c r="K701" s="3" t="s">
        <v>63</v>
      </c>
      <c r="L701" s="3" t="s">
        <v>26</v>
      </c>
      <c r="M701" s="3" t="s">
        <v>68</v>
      </c>
      <c r="N701" s="3" t="s">
        <v>28</v>
      </c>
      <c r="S701" s="3" t="str">
        <f t="shared" si="10"/>
        <v>WITH ZDATA AS
(SELECT NVL(kts.UV_KTR_44_VKL,0) AS Value, 
'123' AS BusinessObjectKey, 
CASE WHEN 1=1 THEN 'ANLAGENUTZUNGSKOSTEN' ELSE 'OTHER' 
END AS Characteristic
FROM KOSTENTRAEGERSTANDORT kts
) 
SELECT 'SUM_1531_KTS' AS KeyFigureName,
'123456' AS ProcessingRunId, 
'12345' AS WaveId, 
Characteristic, BusinessObjectKey, 
SUM(Value) AS Value 
FROM ZDATA 
GROUP BY Characteristic, BusinessObjectKey
ORDER BY BusinessObjectKey;</v>
      </c>
    </row>
    <row r="702" spans="1:19" x14ac:dyDescent="0.2">
      <c r="A702" s="4">
        <v>1531</v>
      </c>
      <c r="B702" s="3">
        <v>1</v>
      </c>
      <c r="C702" s="3" t="s">
        <v>1341</v>
      </c>
      <c r="D702" s="3" t="s">
        <v>70</v>
      </c>
      <c r="E702" s="3" t="s">
        <v>41</v>
      </c>
      <c r="F702" s="3" t="s">
        <v>78</v>
      </c>
      <c r="H702" s="3" t="s">
        <v>61</v>
      </c>
      <c r="I702" s="3" t="s">
        <v>21</v>
      </c>
      <c r="J702" s="3" t="s">
        <v>62</v>
      </c>
      <c r="K702" s="3" t="s">
        <v>63</v>
      </c>
      <c r="L702" s="3" t="s">
        <v>26</v>
      </c>
      <c r="M702" s="3" t="s">
        <v>72</v>
      </c>
      <c r="N702" s="3" t="s">
        <v>28</v>
      </c>
      <c r="S702" s="3" t="str">
        <f t="shared" si="10"/>
        <v>WITH ZDATA AS
(SELECT NVL(ktu.UV_KTR_44_VKL,0) AS Value, 
'123' AS BusinessObjectKey, 
CASE WHEN 1=1 THEN 'ANLAGENUTZUNGSKOSTEN' ELSE 'OTHER' 
END AS Characteristic
FROM KOSTENTRAEGERUNTERNEHMEN ktu
) 
SELECT 'SUM_1531_KTU' AS KeyFigureName,
'123456' AS ProcessingRunId, 
'12345' AS WaveId, 
Characteristic, BusinessObjectKey, 
SUM(Value) AS Value 
FROM ZDATA 
GROUP BY Characteristic, BusinessObjectKey
ORDER BY BusinessObjectKey;</v>
      </c>
    </row>
    <row r="703" spans="1:19" x14ac:dyDescent="0.2">
      <c r="A703" s="4">
        <v>1531</v>
      </c>
      <c r="B703" s="3">
        <v>2</v>
      </c>
      <c r="C703" s="3" t="s">
        <v>1342</v>
      </c>
      <c r="D703" s="3" t="s">
        <v>1343</v>
      </c>
      <c r="E703" s="3" t="s">
        <v>21</v>
      </c>
      <c r="F703" s="3" t="s">
        <v>81</v>
      </c>
      <c r="G703" s="3" t="s">
        <v>40</v>
      </c>
      <c r="I703" s="3" t="s">
        <v>41</v>
      </c>
      <c r="M703" s="3" t="s">
        <v>1344</v>
      </c>
      <c r="N703" s="3" t="s">
        <v>43</v>
      </c>
      <c r="O703" s="3" t="s">
        <v>1345</v>
      </c>
      <c r="S703" s="3" t="str">
        <f t="shared" si="10"/>
        <v>WITH ZDATA AS
(SELECT NVL(kfc.VALUE,0)+NVL(kfc2.VALUE,0)+NVL(kfc3.VALUE,0) AS Value, 
'123' AS BusinessObjectKey, 
kfc.CHARACTERISTIC AS Characteristic
FROM SUM_1531_KTF kfc
JOIN SUM_1531_KTS kfc2 ON kfc.BO_KEY = kfc2.BO_KEY AND kfc.CHARACTERISTIC = kfc2.CHARACTERISTIC JOIN SUM_1531_KTU kfc3 ON kfc.BO_KEY = kfc3.BO_KEY AND kfc.CHARACTERISTIC = kfc3.CHARACTERISTIC
) 
SELECT 'SUM_1531' AS KeyFigureName,
'123456' AS ProcessingRunId, 
'12345' AS WaveId, 
Characteristic, BusinessObjectKey, 
Value AS Value 
FROM ZDATA 
ORDER BY BusinessObjectKey;</v>
      </c>
    </row>
    <row r="704" spans="1:19" x14ac:dyDescent="0.2">
      <c r="A704" s="4">
        <v>1531</v>
      </c>
      <c r="B704" s="3">
        <v>3</v>
      </c>
      <c r="C704" s="3" t="s">
        <v>1346</v>
      </c>
      <c r="D704" s="3" t="s">
        <v>1347</v>
      </c>
      <c r="E704" s="3" t="s">
        <v>21</v>
      </c>
      <c r="F704" s="3" t="s">
        <v>39</v>
      </c>
      <c r="G704" s="3" t="s">
        <v>40</v>
      </c>
      <c r="I704" s="3" t="s">
        <v>41</v>
      </c>
      <c r="M704" s="3" t="s">
        <v>1348</v>
      </c>
      <c r="N704" s="3" t="s">
        <v>43</v>
      </c>
      <c r="O704" s="3" t="s">
        <v>1349</v>
      </c>
      <c r="S704" s="3" t="str">
        <f t="shared" si="10"/>
        <v>WITH ZDATA AS
(SELECT NVL(kfc.VALUE,0)-NVL(kfc2.VALUE,0) AS Value, 
'123' AS BusinessObjectKey, 
kfc.CHARACTERISTIC AS Characteristic
FROM SUM_1531 kfc
JOIN SUM_1531_BEBU kfc2 ON kfc.BO_KEY = kfc2.BO_KEY AND kfc.CHARACTERISTIC = kfc2.CHARACTERISTIC
) 
SELECT 'DIF_1531' AS KeyFigureName,
'123456' AS ProcessingRunId, 
'12345' AS WaveId, 
Characteristic, BusinessObjectKey, 
Value AS Value 
FROM ZDATA 
ORDER BY BusinessObjectKey;</v>
      </c>
    </row>
    <row r="705" spans="1:19" x14ac:dyDescent="0.2">
      <c r="A705" s="4">
        <v>1532</v>
      </c>
      <c r="B705" s="3">
        <v>1</v>
      </c>
      <c r="C705" s="3" t="s">
        <v>1350</v>
      </c>
      <c r="D705" s="3" t="s">
        <v>1351</v>
      </c>
      <c r="E705" s="3" t="s">
        <v>21</v>
      </c>
      <c r="F705" s="3" t="s">
        <v>1352</v>
      </c>
      <c r="H705" s="3" t="s">
        <v>61</v>
      </c>
      <c r="I705" s="3" t="s">
        <v>21</v>
      </c>
      <c r="J705" s="3" t="s">
        <v>62</v>
      </c>
      <c r="K705" s="3" t="s">
        <v>63</v>
      </c>
      <c r="L705" s="3" t="s">
        <v>26</v>
      </c>
      <c r="M705" s="3" t="s">
        <v>1353</v>
      </c>
      <c r="N705" s="3" t="s">
        <v>28</v>
      </c>
      <c r="S705" s="3" t="str">
        <f t="shared" si="10"/>
        <v>WITH ZDATA AS
(SELECT NVL(ks.UV_BEBU_17_24_25,0)+NVL(ks.UV_BEBU_17_24_27,0)+NVL(ks.UV_BEBU_17_24_28,0) AS Value, 
'123' AS BusinessObjectKey, 
CASE WHEN 1=1 THEN 'ANLAGENUTZUNGSKOSTEN' ELSE 'OTHER' 
END AS Characteristic
FROM KSADDITIONALACCOUNTINGS ks
) 
SELECT 'SUM_1532_BEBU' AS KeyFigureName,
'123456' AS ProcessingRunId, 
'12345' AS WaveId, 
Characteristic, BusinessObjectKey, 
SUM(Value) AS Value 
FROM ZDATA 
GROUP BY Characteristic, BusinessObjectKey
ORDER BY BusinessObjectKey;</v>
      </c>
    </row>
    <row r="706" spans="1:19" x14ac:dyDescent="0.2">
      <c r="A706" s="4">
        <v>1532</v>
      </c>
      <c r="B706" s="3">
        <v>1</v>
      </c>
      <c r="C706" s="3" t="s">
        <v>1354</v>
      </c>
      <c r="D706" s="3" t="s">
        <v>59</v>
      </c>
      <c r="E706" s="3" t="s">
        <v>21</v>
      </c>
      <c r="F706" s="3" t="s">
        <v>60</v>
      </c>
      <c r="H706" s="3" t="s">
        <v>61</v>
      </c>
      <c r="I706" s="3" t="s">
        <v>21</v>
      </c>
      <c r="J706" s="3" t="s">
        <v>62</v>
      </c>
      <c r="K706" s="3" t="s">
        <v>63</v>
      </c>
      <c r="L706" s="3" t="s">
        <v>26</v>
      </c>
      <c r="M706" s="3" t="s">
        <v>64</v>
      </c>
      <c r="N706" s="3" t="s">
        <v>28</v>
      </c>
      <c r="S706" s="3" t="str">
        <f t="shared" si="10"/>
        <v>WITH ZDATA AS
(SELECT NVL(ktf.UV_KTR_44_REKOLE,0) AS Value, 
'123' AS BusinessObjectKey, 
CASE WHEN 1=1 THEN 'ANLAGENUTZUNGSKOSTEN' ELSE 'OTHER' 
END AS Characteristic
FROM KOSTENTRAEGERFALL ktf
) 
SELECT 'SUM_1532_KTF' AS KeyFigureName,
'123456' AS ProcessingRunId, 
'12345' AS WaveId, 
Characteristic, BusinessObjectKey, 
SUM(Value) AS Value 
FROM ZDATA 
GROUP BY Characteristic, BusinessObjectKey
ORDER BY BusinessObjectKey;</v>
      </c>
    </row>
    <row r="707" spans="1:19" x14ac:dyDescent="0.2">
      <c r="A707" s="4">
        <v>1532</v>
      </c>
      <c r="B707" s="3">
        <v>1</v>
      </c>
      <c r="C707" s="3" t="s">
        <v>1355</v>
      </c>
      <c r="D707" s="3" t="s">
        <v>66</v>
      </c>
      <c r="E707" s="3" t="s">
        <v>41</v>
      </c>
      <c r="F707" s="3" t="s">
        <v>67</v>
      </c>
      <c r="H707" s="3" t="s">
        <v>61</v>
      </c>
      <c r="I707" s="3" t="s">
        <v>21</v>
      </c>
      <c r="J707" s="3" t="s">
        <v>62</v>
      </c>
      <c r="K707" s="3" t="s">
        <v>63</v>
      </c>
      <c r="L707" s="3" t="s">
        <v>26</v>
      </c>
      <c r="M707" s="3" t="s">
        <v>68</v>
      </c>
      <c r="N707" s="3" t="s">
        <v>28</v>
      </c>
      <c r="S707" s="3" t="str">
        <f t="shared" si="10"/>
        <v>WITH ZDATA AS
(SELECT NVL(kts.UV_KTR_44_REKOLE,0) AS Value, 
'123' AS BusinessObjectKey, 
CASE WHEN 1=1 THEN 'ANLAGENUTZUNGSKOSTEN' ELSE 'OTHER' 
END AS Characteristic
FROM KOSTENTRAEGERSTANDORT kts
) 
SELECT 'SUM_1532_KTS' AS KeyFigureName,
'123456' AS ProcessingRunId, 
'12345' AS WaveId, 
Characteristic, BusinessObjectKey, 
SUM(Value) AS Value 
FROM ZDATA 
GROUP BY Characteristic, BusinessObjectKey
ORDER BY BusinessObjectKey;</v>
      </c>
    </row>
    <row r="708" spans="1:19" x14ac:dyDescent="0.2">
      <c r="A708" s="4">
        <v>1532</v>
      </c>
      <c r="B708" s="3">
        <v>1</v>
      </c>
      <c r="C708" s="3" t="s">
        <v>1356</v>
      </c>
      <c r="D708" s="3" t="s">
        <v>70</v>
      </c>
      <c r="E708" s="3" t="s">
        <v>41</v>
      </c>
      <c r="F708" s="3" t="s">
        <v>71</v>
      </c>
      <c r="H708" s="3" t="s">
        <v>61</v>
      </c>
      <c r="I708" s="3" t="s">
        <v>21</v>
      </c>
      <c r="J708" s="3" t="s">
        <v>62</v>
      </c>
      <c r="K708" s="3" t="s">
        <v>63</v>
      </c>
      <c r="L708" s="3" t="s">
        <v>26</v>
      </c>
      <c r="M708" s="3" t="s">
        <v>72</v>
      </c>
      <c r="N708" s="3" t="s">
        <v>28</v>
      </c>
      <c r="S708" s="3" t="str">
        <f t="shared" ref="S708:S716" si="11">IF(F708="","","WITH ZDATA AS
(SELECT "&amp;F708&amp;" AS Value, 
'123' AS BusinessObjectKey, 
"&amp;IF(I708="False","CASE WHEN "&amp;K708&amp;" THEN '"&amp;J708&amp;"' ELSE '"&amp;L708&amp;"' 
END AS Characteristic",G708)&amp;"
FROM "&amp;M708&amp;"
"&amp;O708&amp;"
"&amp;IF(P708="","", "WHERE "&amp;P708)&amp;"
"&amp;IF(Q708="","", "GROUP BY "&amp;Q708)&amp;"
"&amp;IF(R708="","", "HAVING "&amp;R708)&amp;"
) 
SELECT '"&amp;C708&amp;"' AS KeyFigureName,
'123456' AS ProcessingRunId, 
'12345' AS WaveId, 
Characteristic, BusinessObjectKey, 
"&amp;IF(H708="","Value",H708)&amp;" AS Value 
FROM ZDATA 
"&amp;IF(I708="False","GROUP BY Characteristic, BusinessObjectKey","")&amp;"
ORDER BY BusinessObjectKey;")</f>
        <v>WITH ZDATA AS
(SELECT NVL(ktu.UV_KTR_44_REKOLE,0) AS Value, 
'123' AS BusinessObjectKey, 
CASE WHEN 1=1 THEN 'ANLAGENUTZUNGSKOSTEN' ELSE 'OTHER' 
END AS Characteristic
FROM KOSTENTRAEGERUNTERNEHMEN ktu
) 
SELECT 'SUM_1532_KTU' AS KeyFigureName,
'123456' AS ProcessingRunId, 
'12345' AS WaveId, 
Characteristic, BusinessObjectKey, 
SUM(Value) AS Value 
FROM ZDATA 
GROUP BY Characteristic, BusinessObjectKey
ORDER BY BusinessObjectKey;</v>
      </c>
    </row>
    <row r="709" spans="1:19" x14ac:dyDescent="0.2">
      <c r="A709" s="4">
        <v>1532</v>
      </c>
      <c r="B709" s="3">
        <v>2</v>
      </c>
      <c r="C709" s="3" t="s">
        <v>1357</v>
      </c>
      <c r="D709" s="3" t="s">
        <v>1358</v>
      </c>
      <c r="E709" s="3" t="s">
        <v>21</v>
      </c>
      <c r="F709" s="3" t="s">
        <v>81</v>
      </c>
      <c r="G709" s="3" t="s">
        <v>40</v>
      </c>
      <c r="I709" s="3" t="s">
        <v>41</v>
      </c>
      <c r="M709" s="3" t="s">
        <v>1359</v>
      </c>
      <c r="N709" s="3" t="s">
        <v>43</v>
      </c>
      <c r="O709" s="3" t="s">
        <v>1360</v>
      </c>
      <c r="S709" s="3" t="str">
        <f t="shared" si="11"/>
        <v>WITH ZDATA AS
(SELECT NVL(kfc.VALUE,0)+NVL(kfc2.VALUE,0)+NVL(kfc3.VALUE,0) AS Value, 
'123' AS BusinessObjectKey, 
kfc.CHARACTERISTIC AS Characteristic
FROM SUM_1532_KTF kfc
JOIN SUM_1532_KTS kfc2 ON kfc.BO_KEY = kfc2.BO_KEY AND kfc.CHARACTERISTIC = kfc2.CHARACTERISTIC JOIN SUM_1532_KTU kfc3 ON kfc.BO_KEY = kfc3.BO_KEY AND kfc.CHARACTERISTIC = kfc3.CHARACTERISTIC
) 
SELECT 'SUM_1532' AS KeyFigureName,
'123456' AS ProcessingRunId, 
'12345' AS WaveId, 
Characteristic, BusinessObjectKey, 
Value AS Value 
FROM ZDATA 
ORDER BY BusinessObjectKey;</v>
      </c>
    </row>
    <row r="710" spans="1:19" x14ac:dyDescent="0.2">
      <c r="A710" s="4">
        <v>1532</v>
      </c>
      <c r="B710" s="3">
        <v>3</v>
      </c>
      <c r="C710" s="3" t="s">
        <v>1361</v>
      </c>
      <c r="D710" s="3" t="s">
        <v>1362</v>
      </c>
      <c r="E710" s="3" t="s">
        <v>21</v>
      </c>
      <c r="F710" s="3" t="s">
        <v>39</v>
      </c>
      <c r="G710" s="3" t="s">
        <v>40</v>
      </c>
      <c r="I710" s="3" t="s">
        <v>41</v>
      </c>
      <c r="M710" s="3" t="s">
        <v>1363</v>
      </c>
      <c r="N710" s="3" t="s">
        <v>43</v>
      </c>
      <c r="O710" s="3" t="s">
        <v>1364</v>
      </c>
      <c r="S710" s="3" t="str">
        <f t="shared" si="11"/>
        <v>WITH ZDATA AS
(SELECT NVL(kfc.VALUE,0)-NVL(kfc2.VALUE,0) AS Value, 
'123' AS BusinessObjectKey, 
kfc.CHARACTERISTIC AS Characteristic
FROM SUM_1532 kfc
JOIN SUM_1532_BEBU kfc2 ON kfc.BO_KEY = kfc2.BO_KEY AND kfc.CHARACTERISTIC = kfc2.CHARACTERISTIC
) 
SELECT 'DIF_1532' AS KeyFigureName,
'123456' AS ProcessingRunId, 
'12345' AS WaveId, 
Characteristic, BusinessObjectKey, 
Value AS Value 
FROM ZDATA 
ORDER BY BusinessObjectKey;</v>
      </c>
    </row>
    <row r="711" spans="1:19" x14ac:dyDescent="0.2">
      <c r="A711" s="4">
        <v>1533</v>
      </c>
      <c r="B711" s="3">
        <v>1</v>
      </c>
      <c r="C711" s="3" t="s">
        <v>1365</v>
      </c>
      <c r="D711" s="3" t="s">
        <v>1336</v>
      </c>
      <c r="E711" s="3" t="s">
        <v>21</v>
      </c>
      <c r="F711" s="3" t="s">
        <v>1366</v>
      </c>
      <c r="H711" s="3" t="s">
        <v>61</v>
      </c>
      <c r="I711" s="3" t="s">
        <v>21</v>
      </c>
      <c r="J711" s="3" t="s">
        <v>1367</v>
      </c>
      <c r="K711" s="3" t="s">
        <v>63</v>
      </c>
      <c r="L711" s="3" t="s">
        <v>26</v>
      </c>
      <c r="M711" s="3" t="s">
        <v>1338</v>
      </c>
      <c r="N711" s="3" t="s">
        <v>28</v>
      </c>
      <c r="S711" s="3" t="str">
        <f t="shared" si="11"/>
        <v>WITH ZDATA AS
(SELECT NVL(ks.UV_BEBU_17_21_45,0) AS Value, 
'123' AS BusinessObjectKey, 
CASE WHEN 1=1 THEN 'KOSTEN' ELSE 'OTHER' 
END AS Characteristic
FROM KSEXPENSEACCOUNTINGS ks
) 
SELECT 'SUM_1533_BEBU' AS KeyFigureName,
'123456' AS ProcessingRunId, 
'12345' AS WaveId, 
Characteristic, BusinessObjectKey, 
SUM(Value) AS Value 
FROM ZDATA 
GROUP BY Characteristic, BusinessObjectKey
ORDER BY BusinessObjectKey;</v>
      </c>
    </row>
    <row r="712" spans="1:19" x14ac:dyDescent="0.2">
      <c r="A712" s="4">
        <v>1533</v>
      </c>
      <c r="B712" s="3">
        <v>1</v>
      </c>
      <c r="C712" s="3" t="s">
        <v>1368</v>
      </c>
      <c r="D712" s="3" t="s">
        <v>59</v>
      </c>
      <c r="E712" s="3" t="s">
        <v>21</v>
      </c>
      <c r="F712" s="3" t="s">
        <v>109</v>
      </c>
      <c r="H712" s="3" t="s">
        <v>61</v>
      </c>
      <c r="I712" s="3" t="s">
        <v>21</v>
      </c>
      <c r="J712" s="3" t="s">
        <v>1367</v>
      </c>
      <c r="K712" s="3" t="s">
        <v>63</v>
      </c>
      <c r="L712" s="3" t="s">
        <v>26</v>
      </c>
      <c r="M712" s="3" t="s">
        <v>64</v>
      </c>
      <c r="N712" s="3" t="s">
        <v>28</v>
      </c>
      <c r="S712" s="3" t="str">
        <f t="shared" si="11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1=1 THEN 'KOSTEN' ELSE 'OTHER' 
END AS Characteristic
FROM KOSTENTRAEGERFALL ktf
) 
SELECT 'SUM_1533_KTF' AS KeyFigureName,
'123456' AS ProcessingRunId, 
'12345' AS WaveId, 
Characteristic, BusinessObjectKey, 
SUM(Value) AS Value 
FROM ZDATA 
GROUP BY Characteristic, BusinessObjectKey
ORDER BY BusinessObjectKey;</v>
      </c>
    </row>
    <row r="713" spans="1:19" x14ac:dyDescent="0.2">
      <c r="A713" s="4">
        <v>1533</v>
      </c>
      <c r="B713" s="3">
        <v>1</v>
      </c>
      <c r="C713" s="3" t="s">
        <v>1369</v>
      </c>
      <c r="D713" s="3" t="s">
        <v>66</v>
      </c>
      <c r="E713" s="3" t="s">
        <v>41</v>
      </c>
      <c r="F713" s="3" t="s">
        <v>913</v>
      </c>
      <c r="H713" s="3" t="s">
        <v>61</v>
      </c>
      <c r="I713" s="3" t="s">
        <v>21</v>
      </c>
      <c r="J713" s="3" t="s">
        <v>62</v>
      </c>
      <c r="K713" s="3" t="s">
        <v>63</v>
      </c>
      <c r="L713" s="3" t="s">
        <v>26</v>
      </c>
      <c r="M713" s="3" t="s">
        <v>68</v>
      </c>
      <c r="N713" s="3" t="s">
        <v>28</v>
      </c>
      <c r="S713" s="3" t="str">
        <f t="shared" si="11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1=1 THEN 'ANLAGENUTZUNGSKOSTEN' ELSE 'OTHER' 
END AS Characteristic
FROM KOSTENTRAEGERSTANDORT kts
) 
SELECT 'SUM_1533_KTS' AS KeyFigureName,
'123456' AS ProcessingRunId, 
'12345' AS WaveId, 
Characteristic, BusinessObjectKey, 
SUM(Value) AS Value 
FROM ZDATA 
GROUP BY Characteristic, BusinessObjectKey
ORDER BY BusinessObjectKey;</v>
      </c>
    </row>
    <row r="714" spans="1:19" x14ac:dyDescent="0.2">
      <c r="A714" s="4">
        <v>1533</v>
      </c>
      <c r="B714" s="3">
        <v>1</v>
      </c>
      <c r="C714" s="3" t="s">
        <v>1370</v>
      </c>
      <c r="D714" s="3" t="s">
        <v>70</v>
      </c>
      <c r="E714" s="3" t="s">
        <v>41</v>
      </c>
      <c r="F714" s="3" t="s">
        <v>918</v>
      </c>
      <c r="H714" s="3" t="s">
        <v>61</v>
      </c>
      <c r="I714" s="3" t="s">
        <v>21</v>
      </c>
      <c r="J714" s="3" t="s">
        <v>62</v>
      </c>
      <c r="K714" s="3" t="s">
        <v>63</v>
      </c>
      <c r="L714" s="3" t="s">
        <v>26</v>
      </c>
      <c r="M714" s="3" t="s">
        <v>72</v>
      </c>
      <c r="N714" s="3" t="s">
        <v>28</v>
      </c>
      <c r="S714" s="3" t="str">
        <f t="shared" si="11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1=1 THEN 'ANLAGENUTZUNGSKOSTEN' ELSE 'OTHER' 
END AS Characteristic
FROM KOSTENTRAEGERUNTERNEHMEN ktu
) 
SELECT 'SUM_1533_KTU' AS KeyFigureName,
'123456' AS ProcessingRunId, 
'12345' AS WaveId, 
Characteristic, BusinessObjectKey, 
SUM(Value) AS Value 
FROM ZDATA 
GROUP BY Characteristic, BusinessObjectKey
ORDER BY BusinessObjectKey;</v>
      </c>
    </row>
    <row r="715" spans="1:19" x14ac:dyDescent="0.2">
      <c r="A715" s="4">
        <v>1533</v>
      </c>
      <c r="B715" s="3">
        <v>2</v>
      </c>
      <c r="C715" s="3" t="s">
        <v>1371</v>
      </c>
      <c r="D715" s="3" t="s">
        <v>1372</v>
      </c>
      <c r="E715" s="3" t="s">
        <v>21</v>
      </c>
      <c r="F715" s="3" t="s">
        <v>81</v>
      </c>
      <c r="G715" s="3" t="s">
        <v>40</v>
      </c>
      <c r="I715" s="3" t="s">
        <v>41</v>
      </c>
      <c r="M715" s="3" t="s">
        <v>1373</v>
      </c>
      <c r="N715" s="3" t="s">
        <v>43</v>
      </c>
      <c r="O715" s="3" t="s">
        <v>1374</v>
      </c>
      <c r="S715" s="3" t="str">
        <f t="shared" si="11"/>
        <v>WITH ZDATA AS
(SELECT NVL(kfc.VALUE,0)+NVL(kfc2.VALUE,0)+NVL(kfc3.VALUE,0) AS Value, 
'123' AS BusinessObjectKey, 
kfc.CHARACTERISTIC AS Characteristic
FROM SUM_1533_KTF kfc
JOIN SUM_1533_KTS kfc2 ON kfc.BO_KEY = kfc2.BO_KEY AND kfc.CHARACTERISTIC = kfc2.CHARACTERISTIC JOIN SUM_1533_KTU kfc3 ON kfc.BO_KEY = kfc3.BO_KEY AND kfc.CHARACTERISTIC = kfc3.CHARACTERISTIC
) 
SELECT 'SUM_1533' AS KeyFigureName,
'123456' AS ProcessingRunId, 
'12345' AS WaveId, 
Characteristic, BusinessObjectKey, 
Value AS Value 
FROM ZDATA 
ORDER BY BusinessObjectKey;</v>
      </c>
    </row>
    <row r="716" spans="1:19" x14ac:dyDescent="0.2">
      <c r="A716" s="4">
        <v>1533</v>
      </c>
      <c r="B716" s="3">
        <v>3</v>
      </c>
      <c r="C716" s="3" t="s">
        <v>1375</v>
      </c>
      <c r="D716" s="3" t="s">
        <v>1376</v>
      </c>
      <c r="E716" s="3" t="s">
        <v>21</v>
      </c>
      <c r="F716" s="3" t="s">
        <v>39</v>
      </c>
      <c r="G716" s="3" t="s">
        <v>40</v>
      </c>
      <c r="I716" s="3" t="s">
        <v>41</v>
      </c>
      <c r="M716" s="3" t="s">
        <v>1377</v>
      </c>
      <c r="N716" s="3" t="s">
        <v>43</v>
      </c>
      <c r="O716" s="3" t="s">
        <v>1378</v>
      </c>
      <c r="S716" s="3" t="str">
        <f t="shared" si="11"/>
        <v>WITH ZDATA AS
(SELECT NVL(kfc.VALUE,0)-NVL(kfc2.VALUE,0) AS Value, 
'123' AS BusinessObjectKey, 
kfc.CHARACTERISTIC AS Characteristic
FROM SUM_1533 kfc
JOIN SUM_1533_BEBU kfc2 ON kfc.BO_KEY = kfc2.BO_KEY AND kfc.CHARACTERISTIC = kfc2.CHARACTERISTIC
) 
SELECT 'DIF_1533' AS KeyFigureName,
'123456' AS ProcessingRunId, 
'12345' AS WaveId, 
Characteristic, BusinessObjectKey, 
Value AS Value 
FROM ZDATA 
ORDER BY BusinessObjectKey;</v>
      </c>
    </row>
  </sheetData>
  <autoFilter ref="A1:S716" xr:uid="{183C3E48-8654-4C75-8E9F-515ADA3FBFB4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KFC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Menoud Lorraine BFS</dc:creator>
  <cp:lastModifiedBy>Menoud Lorraine BFS</cp:lastModifiedBy>
  <dcterms:created xsi:type="dcterms:W3CDTF">2026-02-11T14:39:16Z</dcterms:created>
  <dcterms:modified xsi:type="dcterms:W3CDTF">2026-02-11T14:39:53Z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a112399-b73b-40c1-8af2-919b124b9d91_Enabled">
    <vt:lpwstr>true</vt:lpwstr>
  </property>
  <property fmtid="{D5CDD505-2E9C-101B-9397-08002B2CF9AE}" pid="3" name="MSIP_Label_aa112399-b73b-40c1-8af2-919b124b9d91_SetDate">
    <vt:lpwstr>2026-02-11T14:39:52Z</vt:lpwstr>
  </property>
  <property fmtid="{D5CDD505-2E9C-101B-9397-08002B2CF9AE}" pid="4" name="MSIP_Label_aa112399-b73b-40c1-8af2-919b124b9d91_Method">
    <vt:lpwstr>Privileged</vt:lpwstr>
  </property>
  <property fmtid="{D5CDD505-2E9C-101B-9397-08002B2CF9AE}" pid="5" name="MSIP_Label_aa112399-b73b-40c1-8af2-919b124b9d91_Name">
    <vt:lpwstr>L2</vt:lpwstr>
  </property>
  <property fmtid="{D5CDD505-2E9C-101B-9397-08002B2CF9AE}" pid="6" name="MSIP_Label_aa112399-b73b-40c1-8af2-919b124b9d91_SiteId">
    <vt:lpwstr>6ae27add-8276-4a38-88c1-3a9c1f973767</vt:lpwstr>
  </property>
  <property fmtid="{D5CDD505-2E9C-101B-9397-08002B2CF9AE}" pid="7" name="MSIP_Label_aa112399-b73b-40c1-8af2-919b124b9d91_ActionId">
    <vt:lpwstr>ee7c991f-7a03-4b6b-88a6-9e8ff7b59afa</vt:lpwstr>
  </property>
  <property fmtid="{D5CDD505-2E9C-101B-9397-08002B2CF9AE}" pid="8" name="MSIP_Label_aa112399-b73b-40c1-8af2-919b124b9d91_ContentBits">
    <vt:lpwstr>0</vt:lpwstr>
  </property>
  <property fmtid="{D5CDD505-2E9C-101B-9397-08002B2CF9AE}" pid="9" name="MSIP_Label_aa112399-b73b-40c1-8af2-919b124b9d91_Tag">
    <vt:lpwstr>10, 0, 1, 1</vt:lpwstr>
  </property>
</Properties>
</file>